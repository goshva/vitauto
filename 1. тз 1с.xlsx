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66925"/>
  <mc:AlternateContent xmlns:mc="http://schemas.openxmlformats.org/markup-compatibility/2006">
    <mc:Choice Requires="x15">
      <x15ac:absPath xmlns:x15ac="http://schemas.microsoft.com/office/spreadsheetml/2010/11/ac" url="C:\Users\Mac\Documents\"/>
    </mc:Choice>
  </mc:AlternateContent>
  <xr:revisionPtr revIDLastSave="0" documentId="13_ncr:1_{721DE6FE-5E08-44E7-B9C3-B5AD6644FCDA}" xr6:coauthVersionLast="47" xr6:coauthVersionMax="47" xr10:uidLastSave="{00000000-0000-0000-0000-000000000000}"/>
  <bookViews>
    <workbookView xWindow="-110" yWindow="-110" windowWidth="38620" windowHeight="21220" xr2:uid="{8DACADCE-431C-4848-BEAE-415D0BECAE24}"/>
  </bookViews>
  <sheets>
    <sheet name="Лист1" sheetId="1" r:id="rId1"/>
  </sheets>
  <externalReferences>
    <externalReference r:id="rId2"/>
  </externalReferences>
  <definedNames>
    <definedName name="_xlnm._FilterDatabase" localSheetId="0" hidden="1">Лист1!$A$3:$AO$35</definedName>
    <definedName name="Срочность">[1]!УТ_Срочность[Срочность]</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34" i="1" l="1"/>
  <c r="AC34" i="1"/>
  <c r="AI32" i="1"/>
  <c r="AI33" i="1"/>
  <c r="AI35" i="1"/>
  <c r="AC32" i="1"/>
  <c r="AC33" i="1"/>
  <c r="AC35" i="1"/>
  <c r="AI30" i="1" l="1"/>
  <c r="AI31" i="1"/>
  <c r="AC30" i="1"/>
  <c r="AC31" i="1"/>
  <c r="AI11" i="1"/>
  <c r="AI12" i="1"/>
  <c r="AI13" i="1"/>
  <c r="AI14" i="1"/>
  <c r="AI15" i="1"/>
  <c r="AI16" i="1"/>
  <c r="AI17" i="1"/>
  <c r="AI18" i="1"/>
  <c r="AI19" i="1"/>
  <c r="AI20" i="1"/>
  <c r="AI21" i="1"/>
  <c r="AI22" i="1"/>
  <c r="AI23" i="1"/>
  <c r="AI24" i="1"/>
  <c r="AI25" i="1"/>
  <c r="AI26" i="1"/>
  <c r="AI27" i="1"/>
  <c r="AI28" i="1"/>
  <c r="AI29" i="1"/>
  <c r="AC11" i="1"/>
  <c r="AC12" i="1"/>
  <c r="AC13" i="1"/>
  <c r="AC14" i="1"/>
  <c r="AC15" i="1"/>
  <c r="AC16" i="1"/>
  <c r="AC17" i="1"/>
  <c r="AC18" i="1"/>
  <c r="AC19" i="1"/>
  <c r="AC20" i="1"/>
  <c r="AC21" i="1"/>
  <c r="AC22" i="1"/>
  <c r="AC23" i="1"/>
  <c r="AC24" i="1"/>
  <c r="AC25" i="1"/>
  <c r="AC26" i="1"/>
  <c r="AC27" i="1"/>
  <c r="AC28" i="1"/>
  <c r="AC29" i="1"/>
  <c r="AI4" i="1" l="1"/>
  <c r="AI5" i="1"/>
  <c r="AI6" i="1"/>
  <c r="AI7" i="1"/>
  <c r="AI8" i="1"/>
  <c r="AI9" i="1"/>
  <c r="AC4" i="1"/>
  <c r="AC5" i="1"/>
  <c r="AC6" i="1"/>
  <c r="AC7" i="1"/>
  <c r="AC8" i="1"/>
  <c r="AC9" i="1"/>
  <c r="AC10" i="1" l="1"/>
  <c r="AI10" i="1"/>
</calcChain>
</file>

<file path=xl/sharedStrings.xml><?xml version="1.0" encoding="utf-8"?>
<sst xmlns="http://schemas.openxmlformats.org/spreadsheetml/2006/main" count="359" uniqueCount="245">
  <si>
    <t>№ п/п</t>
  </si>
  <si>
    <t>дата отгрузки</t>
  </si>
  <si>
    <t>Наименование</t>
  </si>
  <si>
    <t xml:space="preserve">Кол-во </t>
  </si>
  <si>
    <t>Цена</t>
  </si>
  <si>
    <t>Форма оплаты</t>
  </si>
  <si>
    <t>Поставщик</t>
  </si>
  <si>
    <t>Дата 
получения</t>
  </si>
  <si>
    <t>Дата 
заказа</t>
  </si>
  <si>
    <t>Коэфф</t>
  </si>
  <si>
    <t>Комментарий</t>
  </si>
  <si>
    <t>АЛЬЯНС</t>
  </si>
  <si>
    <t>запчасть</t>
  </si>
  <si>
    <t>КЕТЧЕРСКАЯ</t>
  </si>
  <si>
    <t>АРМ</t>
  </si>
  <si>
    <t>с255вв777</t>
  </si>
  <si>
    <t>Склад</t>
  </si>
  <si>
    <t>8243НС77</t>
  </si>
  <si>
    <t>с259вв777</t>
  </si>
  <si>
    <t>Трос МТЗ-320 БЗТДиА</t>
  </si>
  <si>
    <t>320-1108070</t>
  </si>
  <si>
    <t>0020ММ77</t>
  </si>
  <si>
    <t>Маяк проблесковый 12V импульсный на магните светодиодный оранжевый TORINO</t>
  </si>
  <si>
    <t>Щетка стеклоочистителя</t>
  </si>
  <si>
    <t>51016Х-10 OR</t>
  </si>
  <si>
    <t>9200МО77</t>
  </si>
  <si>
    <t>м141мн777</t>
  </si>
  <si>
    <t>4735ММ77</t>
  </si>
  <si>
    <t>270447</t>
  </si>
  <si>
    <t>MWL-TTX535LHB</t>
  </si>
  <si>
    <t>Маяк импульсный 12/24V (72 светодиода) (2 режима) на магните желтый LUMEN</t>
  </si>
  <si>
    <t>5925НК77</t>
  </si>
  <si>
    <t>сонар</t>
  </si>
  <si>
    <t>САМИ</t>
  </si>
  <si>
    <t>СКЛАД</t>
  </si>
  <si>
    <t>645183</t>
  </si>
  <si>
    <t>FF5421</t>
  </si>
  <si>
    <t>Фильтр топливный КАМАЗ, ПАЗ тонкой очистки L382 (аналог WK 950/21) FLEETGUARD</t>
  </si>
  <si>
    <t>кирелис</t>
  </si>
  <si>
    <t>РДБС МОТОРС</t>
  </si>
  <si>
    <t>СПАК</t>
  </si>
  <si>
    <t>ДЭУ_5</t>
  </si>
  <si>
    <t>Бачок расширительный КАМАЗ-6520 пластик с крышкой (без клапана) ТЕХНОТРОН</t>
  </si>
  <si>
    <t>Провод АКБ соединительный перемычка L=400мм S=25мм клемма-клемма</t>
  </si>
  <si>
    <t>6520-1311010-01</t>
  </si>
  <si>
    <t>OZ-BС4004</t>
  </si>
  <si>
    <t>923527</t>
  </si>
  <si>
    <t>а590се197</t>
  </si>
  <si>
    <t> 51016Х-10 OR</t>
  </si>
  <si>
    <t>4596ММ77</t>
  </si>
  <si>
    <t>Бачок расширительный КАМАЗ-6520 пластик с крышкой </t>
  </si>
  <si>
    <t>72-2209010</t>
  </si>
  <si>
    <t>Опора вала карданного МТЗ промежуточная РБ 722209010</t>
  </si>
  <si>
    <t>086579</t>
  </si>
  <si>
    <t>Опора вала карданного МТЗ промежуточная БЗТДИА</t>
  </si>
  <si>
    <t>срочно</t>
  </si>
  <si>
    <t>5432.3708000-20</t>
  </si>
  <si>
    <t>Стартер МАЗ,МТЗ,АМКОДОР дв.Д-260.7,260.5,265 и их модификации редукторный 24В z=10 9.0кВт БАТЭ </t>
  </si>
  <si>
    <t>657708</t>
  </si>
  <si>
    <t>8566мм77</t>
  </si>
  <si>
    <t>т710ео777</t>
  </si>
  <si>
    <t>KF3485 PR</t>
  </si>
  <si>
    <t>Фильтр топливный КАМАЗ,ПАЗ тонкой очистки</t>
  </si>
  <si>
    <t>6084НК77</t>
  </si>
  <si>
    <t>622563</t>
  </si>
  <si>
    <t>Фонарь задний КАМАЗ, МАЗ, УРАЛ 24V с проводом левый ТЕХАВТОСВЕТ</t>
  </si>
  <si>
    <t>7452-262 / 7472.3716-04</t>
  </si>
  <si>
    <t>5432.3708 АЕ</t>
  </si>
  <si>
    <t>559699</t>
  </si>
  <si>
    <t>Стартер МАЗ, УРАЛ дв.ЯМЗ-236, 238, 656, 658, 7511 ЕВРО-2, 3 z=10 9.2кВт редукторный AVTOELECTRICA</t>
  </si>
  <si>
    <t>Вид услуги</t>
  </si>
  <si>
    <t>FS36253-MX</t>
  </si>
  <si>
    <t>Фильтр топливный КАМАЗ (дв.CUMMINS) MOVELEX FS36253MX</t>
  </si>
  <si>
    <t>FS36253</t>
  </si>
  <si>
    <t>441388</t>
  </si>
  <si>
    <t>Фильтр топливный КАМАЗ (дв.CUMMINS) FLEETGUARD</t>
  </si>
  <si>
    <t>Фонарь задний КАМАЗ,МАЗ,УРАЛ левый с проводом ТЕХАВТОСВЕТ</t>
  </si>
  <si>
    <t>1473847M91</t>
  </si>
  <si>
    <t>633603</t>
  </si>
  <si>
    <t>Крышка КАМАЗ редуктора среднего моста (ОАО КАМАЗ)</t>
  </si>
  <si>
    <t>54115-2502209</t>
  </si>
  <si>
    <t>327175</t>
  </si>
  <si>
    <t>Трос МТЗ-320 ОАО МТЗ</t>
  </si>
  <si>
    <t>900-00-008</t>
  </si>
  <si>
    <t>Болт М14х1.5х55 МАЗ,КАМАЗ-65115 вала карданного в сборе</t>
  </si>
  <si>
    <t>ФГ-20-02L-LED</t>
  </si>
  <si>
    <t>Фонарь габаритный красный/белый 12/24 светодиодный левый ТЕХАВТОСВЕТ</t>
  </si>
  <si>
    <t>557947</t>
  </si>
  <si>
    <t>900-00-008 / 11422031СБ</t>
  </si>
  <si>
    <t>379318</t>
  </si>
  <si>
    <t> AC193</t>
  </si>
  <si>
    <t>5603100U340003</t>
  </si>
  <si>
    <t>Стекло двери МОСКВИЧ 3 JAC JS4 OE 5603100U340003</t>
  </si>
  <si>
    <t>50-1003020</t>
  </si>
  <si>
    <t>Прокладка головки блока Д-245 ЕВРО-3 БЦМ 501003020</t>
  </si>
  <si>
    <t>МД-219</t>
  </si>
  <si>
    <t>Указатель давления масла МТЗ,ЛТЗ,ВТЗ 6атм. МТТ-6,14.3830-03 (А) МД219</t>
  </si>
  <si>
    <t>А575ЕС977</t>
  </si>
  <si>
    <t> 7452-262</t>
  </si>
  <si>
    <t> AX502</t>
  </si>
  <si>
    <t>Разъем МАЗ,ГАЗ,УАЗ фонаря заднего штыревой</t>
  </si>
  <si>
    <t>ZYB-1816L/817-1</t>
  </si>
  <si>
    <t>Насос гидроусилителя КАМАЗ-4308 дв.CUMMINS </t>
  </si>
  <si>
    <t>AB-5K</t>
  </si>
  <si>
    <t>Трос буксировочный 5т 5м ленточный (крюк-крюк) АВТОСТОП AB5K</t>
  </si>
  <si>
    <t>10.016.6000-25.04С</t>
  </si>
  <si>
    <t>Вал карданный МТЗ-80,82,320,Т-25 привода щетки в кожухе </t>
  </si>
  <si>
    <t>320-1108060</t>
  </si>
  <si>
    <t>321-4608110</t>
  </si>
  <si>
    <t>Бак масляный МТЗ гидросистемы БЗТДИА</t>
  </si>
  <si>
    <t> 6-7206А</t>
  </si>
  <si>
    <t>Конический подшипник 6-7206А</t>
  </si>
  <si>
    <t> 260-1118010</t>
  </si>
  <si>
    <t>Трубка МТЗ,Д260 сливная ММЗ 2601118010</t>
  </si>
  <si>
    <t>4216.1005074</t>
  </si>
  <si>
    <t>Шкив ГАЗ-3302 Бизнес дв.УМЗ-4216 ЕВРО-3</t>
  </si>
  <si>
    <t>6520-1311010-01 </t>
  </si>
  <si>
    <t> 5432.3708 АЕ </t>
  </si>
  <si>
    <t>Стартер МАЗ,УРАЛ дв.ЯМЗ-236,238,</t>
  </si>
  <si>
    <t>9114МО77</t>
  </si>
  <si>
    <t>0020мм77</t>
  </si>
  <si>
    <t>конический подшипник</t>
  </si>
  <si>
    <t>1129ММ77</t>
  </si>
  <si>
    <t>о055сг197</t>
  </si>
  <si>
    <t>063992</t>
  </si>
  <si>
    <t>HG4114</t>
  </si>
  <si>
    <t>Размораживатель дизельного топлива 946мл HI-GEAR</t>
  </si>
  <si>
    <t>177377</t>
  </si>
  <si>
    <t>Шкив ГАЗ-3302 Бизнес дв.УМЗ-4216 ЕВРО-3 ГБО коленвала привода вентилятора УМЗ</t>
  </si>
  <si>
    <t xml:space="preserve">Стартер МАЗ, МТЗ, АМКОДОР дв.Д-260.7, 260.5, 265 и их модификации редукторный 24В z=10 9.0кВт БАТЭ  </t>
  </si>
  <si>
    <t>659406</t>
  </si>
  <si>
    <t>Трос буксировочный 5т 5м ленточный (крюк-крюк) АВТОСТОП</t>
  </si>
  <si>
    <t>852537</t>
  </si>
  <si>
    <t>Вал карданный МТЗ-80, 82, 320, Т-25 привода щетки в кожухе (8 шлиц.+шпонка) L=810-1285мм</t>
  </si>
  <si>
    <t>858499</t>
  </si>
  <si>
    <t>AX502</t>
  </si>
  <si>
    <t>Разъем МАЗ, ГАЗ, УАЗ фонаря заднего штыревой (м+п, байонет) CARGEN</t>
  </si>
  <si>
    <t>777858</t>
  </si>
  <si>
    <t>Прокладка головки блока Д-245 ЕВРО-3 БЦМ</t>
  </si>
  <si>
    <t>063856</t>
  </si>
  <si>
    <t>Указатель давления масла МТЗ, ЛТЗ, ВТЗ 6атм. МТТ-6, 14.3830-03 (А)</t>
  </si>
  <si>
    <t>798058</t>
  </si>
  <si>
    <t>AX62325</t>
  </si>
  <si>
    <t>Провод АКБ соединительный перемычка L=400мм S=25мм клемма-клемма CARGEN</t>
  </si>
  <si>
    <t>Трубка МТЗ, Д260 сливная ММЗ</t>
  </si>
  <si>
    <t>260-1118010</t>
  </si>
  <si>
    <t xml:space="preserve">320-1108070	</t>
  </si>
  <si>
    <t>Трос МТЗ-320 БЗТДИА</t>
  </si>
  <si>
    <t>Подшипник 6-7206 А (30206) 30*62*17,25мм ГПЗ/СПЗ-4</t>
  </si>
  <si>
    <t>6-7206 А (30206)</t>
  </si>
  <si>
    <t>Е427ЕВ777</t>
  </si>
  <si>
    <t>091751</t>
  </si>
  <si>
    <t>15970921</t>
  </si>
  <si>
    <t>178027</t>
  </si>
  <si>
    <t>5320-25020**</t>
  </si>
  <si>
    <t>Прокладка КАМАЗ среднего моста комплект (7шт.)</t>
  </si>
  <si>
    <t>Болт М10х1.25х35 ВАЗ-2121 поперечины (кл.проч. 8.8) ТТМ</t>
  </si>
  <si>
    <t>Стартер МТЗ-1221,22,ЗИЛ,ГАЗ,МАЗ,ПАЗ дв.ММЗ ЕВРО-2 Д243,245,260 24В 3.5кВт STARTVOLT</t>
  </si>
  <si>
    <t xml:space="preserve">	LST0372</t>
  </si>
  <si>
    <t>LST0372 / 9172780</t>
  </si>
  <si>
    <t xml:space="preserve">Болт М14х1.5х55 МАЗ, КАМАЗ-65115 вала карданного в сборе (к.п. 10.9) азотированная сталь MEGAPOWER  </t>
  </si>
  <si>
    <t>Насос гидроусилителя КАМАЗ-4308 дв.CUMMINS QUANXING</t>
  </si>
  <si>
    <t>ZYB-1816L/817-1 / 7684955230</t>
  </si>
  <si>
    <t>Номер отгрузкуи</t>
  </si>
  <si>
    <t>Номер отгрузки формирируется (№ отгрузочного документа в адрес клиента)</t>
  </si>
  <si>
    <t>Загрузка и из заявки  (текстовая форма)</t>
  </si>
  <si>
    <t>Создается автоматом дата создания заказа клиента</t>
  </si>
  <si>
    <t>Артикул</t>
  </si>
  <si>
    <t xml:space="preserve">Артикул </t>
  </si>
  <si>
    <t>Артикул  (ФАКТ)</t>
  </si>
  <si>
    <t>Наименование (ФАКТ)</t>
  </si>
  <si>
    <t>Территория  (ФАКТ)</t>
  </si>
  <si>
    <t>Машина ГРЗ  (ФАКТ)</t>
  </si>
  <si>
    <t>Фактическое которое мы хоти отгрузить</t>
  </si>
  <si>
    <t>тип: нал, без ндс, 5%, 10%, 22%</t>
  </si>
  <si>
    <t>процент в натуральном виде 10% не 1,10 наценки на товар можно заполнять можно оставить пустым и поставить цену сследующей колонке руками или наоборот ( если автоматом будет показывать наценку будет хорошо, Допом подумать что если даем ниже опреденоого процента подсвечивается красным</t>
  </si>
  <si>
    <t>сумма автоматом</t>
  </si>
  <si>
    <t>Комментарий)))</t>
  </si>
  <si>
    <t>кол-во в наличии на складе</t>
  </si>
  <si>
    <t>кол-во в резерве того товара который находиться на складе</t>
  </si>
  <si>
    <t>№ фартиии ФИФО или механизм для выбора какой товар мы возьмем в ручную</t>
  </si>
  <si>
    <t>заполняется автоматом из наличия товара с разбивкой по партиям или ставиться в качестве будущей поставки</t>
  </si>
  <si>
    <t xml:space="preserve">Заказчик </t>
  </si>
  <si>
    <t>Создается автоматомзаказчик из заказа клиента</t>
  </si>
  <si>
    <t>статус заявки</t>
  </si>
  <si>
    <t>назначается будущими кнопками или после если с товаром производит действие склад , в резерв, заказано в пути, нузно забрать, прихлдуется, на складе, готов к отгрузке, отгружен. сопроводается цветом</t>
  </si>
  <si>
    <t>Создается автоматом номер заказа клиента</t>
  </si>
  <si>
    <t>кол-во  (ФАКТ)</t>
  </si>
  <si>
    <t>ед. изм.</t>
  </si>
  <si>
    <t>Привязка к номенклатуре (Нужно или можно заложить краность упаковке или тары) Пример заказли 3 бутылки по 2 литра на складе или в продаже есть только в таре по 5 литров соответсвенно выписаваем 5 или 10 литров в документы на склад приходит задание 2 канистры по 5 литров стандартная функция где то ее видел</t>
  </si>
  <si>
    <t>Код А-А /код поставщика</t>
  </si>
  <si>
    <t>кол-во в наличии на складе этоже поле участвует какое количество мы заказываем у поставщика, если товар в достаточно количестве отображается зеленым, после того как склад заприходовал товар то становится тоже зеленым в случае если стоял резер на него (нужно подумать над алгоритмом. в случае нехватки товара или разных цен строка начинает дробиться. для проценки можно дробить вручную и выбирать какие строки будем покупать.</t>
  </si>
  <si>
    <t>сумма</t>
  </si>
  <si>
    <t>цена ставиться вручную или заполняется от наценки</t>
  </si>
  <si>
    <t>Срочность (ФАКТ) она же коментарий со стороны заказчика</t>
  </si>
  <si>
    <t>кнопки</t>
  </si>
  <si>
    <t>создать задание на сборку склад с печатной формой</t>
  </si>
  <si>
    <t xml:space="preserve">по готовности сборки </t>
  </si>
  <si>
    <t>отгрузить</t>
  </si>
  <si>
    <t>задание на сборку</t>
  </si>
  <si>
    <t>резерв</t>
  </si>
  <si>
    <t>отмена заказа на строку</t>
  </si>
  <si>
    <t>отмена</t>
  </si>
  <si>
    <t>возврат от заказчика позиции указываем на строку нажимаем возват выскакивет оно где нужно указать сколько предметов хотят вернуть, далее содается строка возврата автоматом документ на склад что бы приняли на этоим осоновании возврат</t>
  </si>
  <si>
    <t>возврат</t>
  </si>
  <si>
    <t>после выбора поствщика номенклатуры кол-во и цены нажимаем заказать</t>
  </si>
  <si>
    <t>заказать</t>
  </si>
  <si>
    <t xml:space="preserve">на основнии этого они нажимают на складе </t>
  </si>
  <si>
    <t>такойже принцип с возвратами</t>
  </si>
  <si>
    <t xml:space="preserve">Договор с заказчиком </t>
  </si>
  <si>
    <t>буха заставим делать (должен контролировать менеджер</t>
  </si>
  <si>
    <t>Территория забора товара у поставщика или доставка Транскортной компанией можно оставить текстовым полем для японимая откуда ждать товар указывается адрес откуда забрать для своих машин и когда можно забрать</t>
  </si>
  <si>
    <t>код привязавется к позиции если она имеет определенного поствщика (на уровне номенклатуры). Соответсвенно в подбор товара можно попасть через: наименование, артикул, код или кнопка подбор когда стоим на этой строке</t>
  </si>
  <si>
    <t>столбцы двойного назначения как отображение что на складе так и что будем закупать</t>
  </si>
  <si>
    <t>текстове поля закгружаются через каказ клиента через кнопку создать заказ</t>
  </si>
  <si>
    <t>возможно сделать кнопку? Для вариантов отображения столбцов показать все и отобразить выбранные пользователем в зависимости от его потребностей?</t>
  </si>
  <si>
    <t>вопросы</t>
  </si>
  <si>
    <t>Цена входа на складе , или цена будущей покупки в слуае отсутсвия на складе проговаривали забыл как можно сделать привязку к позиции например доствка или сопутсвующих расходов</t>
  </si>
  <si>
    <t>заказы поставщикам к поступлению офоромить приходную накладнкую</t>
  </si>
  <si>
    <t>№ заказ внутренний наш</t>
  </si>
  <si>
    <t>№ заказ клиент</t>
  </si>
  <si>
    <t>ед. изм. (ФАКТ)</t>
  </si>
  <si>
    <t>Наименование товара.менеджер создает позицию на основании счета имеет возможность ее отгрузить, но позиция номенклатурная падает исключительно в папку "На согласование" в папку основную товар Нужно перенести заполнив все поля перенос в паку доступен только админу с артикулом, код а-а и прочиви вещами связанными с номенклатурой такая же процедура (всучае если номенклатура по мнения склада не соответствует скдад ставит комментарий на позицию</t>
  </si>
  <si>
    <t>количество товара заказаннного который едет или еще не заприходовано складом //// вторым числом можно указать количество свободное (тоесть то что сейчас едет к нам и останется  на складе</t>
  </si>
  <si>
    <t>Оплачено (выствлен счет, счет в оплате, оплачено, оплачено позже будет, постоплатный договор)</t>
  </si>
  <si>
    <t>сумма товар на  складе или к закупке. Если выделить отдельные стороки нужно видеть сумму позиций</t>
  </si>
  <si>
    <t>заполняет склад на моменте прихода</t>
  </si>
  <si>
    <t>Территория отгрузки поставщиком</t>
  </si>
  <si>
    <t>Дата отгрузки формирируется (Дата отгрузочного документа в адрес клиента)</t>
  </si>
  <si>
    <t>Загрузка и из заявки  (текстовая форма) для корректировки полей с пометкой факт принажатии на эти поля должно открыться окно заказа и там можно редактировать в арме нельзя (в Идеале)))_ в табличной форме загрузки разлиновка ячеек и нумерация строк в соответсвии с номером строки в части 1с списка товаров</t>
  </si>
  <si>
    <t>Создается автоматом из заказа клиента (мало вероятно, что будем пользоваться) лучше реквизиты сразу заложить.</t>
  </si>
  <si>
    <t xml:space="preserve">после выбора поствщика номенклатуры кол-во и цены нажимаем заказать, следавательно формируется список на склад где идет разбивка по контагентам при проваливании внуть видим скписок что должно поступить в формате дата заказа, наимнование, артикул,  кол-во, цена. На основании этого склад принимает товар проверяя цены и количество с фктически поступившим в случае не довоза строка дробиться и тд все должно быть в стандарном механизме или разбито по докментам  как заказывал менеджер </t>
  </si>
  <si>
    <t>в случае если чтото заказно и это имеет определенный срок поставки то пишем в комментарий что такого числа прибудет или есть стандарный механизм вывода сюда тот же принцип если товар едет через транспортную компанию</t>
  </si>
  <si>
    <t>не знаю как сделать нужна подсказка</t>
  </si>
  <si>
    <t>если есть</t>
  </si>
  <si>
    <t>РРЦ</t>
  </si>
  <si>
    <t>№ УПД</t>
  </si>
  <si>
    <t>Дата ставиться автоматом при формировании документа о приемки  это дата когда склад заприходовал товар</t>
  </si>
  <si>
    <t>эти 3 поля могут рабть во свсе сторны, как показывается коффициень так и сумма и на обоор</t>
  </si>
  <si>
    <t>Дата УПД</t>
  </si>
  <si>
    <t>услга</t>
  </si>
  <si>
    <t>инструмент</t>
  </si>
  <si>
    <t>текстовое поле или выпадающий список (азначается нашим менеджером)</t>
  </si>
  <si>
    <t>Размораживатель дизельного топлива на 200л 1л ASTROHIM AC193 Бочка</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</si>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</sst>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b/>
      <sz val="11"/>
      <color theme="1"/>
      <name val="Calibri"/>
      <family val="2"/>
      <charset val="204"/>
      <scheme val="minor"/>
    </font>
    <font>
      <sz val="11"/>
      <color theme="1"/>
      <name val="Calibri"/>
      <family val="2"/>
      <scheme val="minor"/>
    </font>
    <font>
      <sz val="11"/>
      <color rgb="FFFF0000"/>
      <name val="Calibri"/>
      <family val="2"/>
      <charset val="204"/>
      <scheme val="minor"/>
    </font>
    <font>
      <sz val="11"/>
      <name val="Calibri"/>
      <family val="2"/>
      <charset val="204"/>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58">
    <xf numFmtId="0" fontId="0" fillId="0" borderId="0" xfId="0"/>
    <xf numFmtId="0" fontId="1" fillId="0" borderId="1" xfId="0" applyFont="1" applyBorder="1" applyAlignment="1">
      <alignment horizontal="center" vertical="center" wrapText="1"/>
    </xf>
    <xf numFmtId="4" fontId="1" fillId="0" borderId="1" xfId="0" applyNumberFormat="1" applyFont="1" applyBorder="1" applyAlignment="1">
      <alignment horizontal="center"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49" fontId="0" fillId="3" borderId="1" xfId="0" applyNumberFormat="1" applyFill="1" applyBorder="1" applyAlignment="1">
      <alignment horizontal="left" vertical="center" wrapText="1"/>
    </xf>
    <xf numFmtId="49" fontId="0" fillId="3" borderId="1" xfId="0" applyNumberFormat="1" applyFill="1" applyBorder="1" applyAlignment="1">
      <alignment horizontal="center" vertical="center"/>
    </xf>
    <xf numFmtId="0" fontId="0" fillId="3" borderId="1" xfId="0" applyFill="1" applyBorder="1" applyAlignment="1">
      <alignment horizontal="left" vertical="center"/>
    </xf>
    <xf numFmtId="4" fontId="0" fillId="3" borderId="1" xfId="0" applyNumberFormat="1" applyFill="1" applyBorder="1" applyAlignment="1">
      <alignment horizontal="right"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49" fontId="0" fillId="3" borderId="1" xfId="0" applyNumberFormat="1" applyFill="1" applyBorder="1" applyAlignment="1">
      <alignment horizontal="center" vertical="center" wrapText="1"/>
    </xf>
    <xf numFmtId="49" fontId="3" fillId="3" borderId="1" xfId="0" applyNumberFormat="1" applyFont="1" applyFill="1" applyBorder="1" applyAlignment="1">
      <alignment horizontal="center" vertical="center"/>
    </xf>
    <xf numFmtId="49" fontId="0" fillId="4" borderId="1" xfId="0" applyNumberFormat="1" applyFill="1" applyBorder="1" applyAlignment="1">
      <alignment horizontal="left" vertical="center" wrapText="1"/>
    </xf>
    <xf numFmtId="0" fontId="0" fillId="0" borderId="1" xfId="0" applyBorder="1" applyAlignment="1">
      <alignment horizontal="center" vertical="center" wrapText="1"/>
    </xf>
    <xf numFmtId="49" fontId="3" fillId="0" borderId="1" xfId="0" applyNumberFormat="1" applyFont="1" applyBorder="1" applyAlignment="1">
      <alignment horizontal="center" vertical="center"/>
    </xf>
    <xf numFmtId="14" fontId="0" fillId="0" borderId="1" xfId="0" applyNumberFormat="1"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0" borderId="1" xfId="0" applyBorder="1" applyAlignment="1">
      <alignment horizontal="left" vertical="center"/>
    </xf>
    <xf numFmtId="4" fontId="0" fillId="0" borderId="1" xfId="0" applyNumberFormat="1" applyBorder="1" applyAlignment="1">
      <alignment horizontal="right" vertical="center" wrapText="1"/>
    </xf>
    <xf numFmtId="0" fontId="0" fillId="0" borderId="1" xfId="0" applyBorder="1" applyAlignment="1">
      <alignment vertical="center" wrapText="1"/>
    </xf>
    <xf numFmtId="0" fontId="0" fillId="0" borderId="0" xfId="0" applyAlignment="1">
      <alignment wrapText="1"/>
    </xf>
    <xf numFmtId="49" fontId="0" fillId="0" borderId="1" xfId="0" applyNumberFormat="1" applyBorder="1"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left" vertical="center" wrapText="1"/>
    </xf>
    <xf numFmtId="49" fontId="0" fillId="0" borderId="0" xfId="0" applyNumberFormat="1" applyAlignment="1">
      <alignment horizontal="left" vertical="center" wrapText="1"/>
    </xf>
    <xf numFmtId="4" fontId="0" fillId="0" borderId="0" xfId="0" applyNumberFormat="1" applyAlignment="1">
      <alignment horizontal="right" vertical="center" wrapText="1"/>
    </xf>
    <xf numFmtId="0" fontId="0" fillId="0" borderId="0" xfId="0" applyAlignment="1">
      <alignment vertical="center" wrapText="1"/>
    </xf>
    <xf numFmtId="4" fontId="1" fillId="2" borderId="1" xfId="0" applyNumberFormat="1" applyFont="1" applyFill="1" applyBorder="1" applyAlignment="1">
      <alignment horizontal="center" vertical="center" wrapText="1"/>
    </xf>
    <xf numFmtId="16" fontId="0" fillId="0" borderId="1" xfId="0" applyNumberFormat="1" applyBorder="1" applyAlignment="1">
      <alignment horizontal="center" vertical="center" wrapText="1"/>
    </xf>
    <xf numFmtId="16" fontId="0" fillId="3" borderId="1" xfId="0" applyNumberFormat="1" applyFill="1" applyBorder="1" applyAlignment="1">
      <alignment horizontal="center" vertical="center" wrapText="1"/>
    </xf>
    <xf numFmtId="2" fontId="1" fillId="0" borderId="1" xfId="0" applyNumberFormat="1" applyFont="1" applyBorder="1" applyAlignment="1">
      <alignment horizontal="center" vertical="center" wrapText="1"/>
    </xf>
    <xf numFmtId="2" fontId="0" fillId="3" borderId="1" xfId="0" applyNumberFormat="1" applyFill="1" applyBorder="1" applyAlignment="1">
      <alignment horizontal="center" vertical="center"/>
    </xf>
    <xf numFmtId="2" fontId="0" fillId="0" borderId="1" xfId="0" applyNumberFormat="1" applyBorder="1" applyAlignment="1">
      <alignment horizontal="center" vertical="center"/>
    </xf>
    <xf numFmtId="2" fontId="4" fillId="0" borderId="0" xfId="0" applyNumberFormat="1" applyFont="1" applyAlignment="1">
      <alignment horizontal="center" vertical="center"/>
    </xf>
    <xf numFmtId="49" fontId="0" fillId="2" borderId="1" xfId="0" applyNumberFormat="1" applyFill="1" applyBorder="1" applyAlignment="1">
      <alignment horizontal="left" vertical="center" wrapText="1"/>
    </xf>
    <xf numFmtId="0" fontId="1" fillId="0" borderId="0" xfId="0" applyFont="1" applyAlignment="1">
      <alignment horizontal="center" vertical="center" wrapText="1"/>
    </xf>
    <xf numFmtId="2" fontId="4" fillId="0" borderId="0" xfId="0" applyNumberFormat="1" applyFont="1" applyAlignment="1">
      <alignment horizontal="center" vertical="center" wrapText="1"/>
    </xf>
    <xf numFmtId="2"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4" fontId="1" fillId="4" borderId="1" xfId="0" applyNumberFormat="1" applyFont="1" applyFill="1" applyBorder="1" applyAlignment="1">
      <alignment horizontal="center" vertical="center" wrapText="1"/>
    </xf>
    <xf numFmtId="4" fontId="0" fillId="0" borderId="0" xfId="0" applyNumberFormat="1" applyAlignment="1">
      <alignment horizontal="center" vertical="center" wrapText="1"/>
    </xf>
    <xf numFmtId="0" fontId="0" fillId="0" borderId="0" xfId="0" applyAlignment="1">
      <alignment horizont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0" fontId="0" fillId="0" borderId="1" xfId="0" applyBorder="1" applyAlignment="1">
      <alignment wrapText="1"/>
    </xf>
    <xf numFmtId="49" fontId="0" fillId="7" borderId="1" xfId="0" applyNumberForma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8" borderId="0" xfId="0" applyFill="1" applyAlignment="1">
      <alignment horizontal="center" vertical="center" wrapText="1"/>
    </xf>
    <xf numFmtId="4" fontId="0" fillId="8" borderId="0" xfId="0" applyNumberFormat="1" applyFill="1" applyAlignment="1">
      <alignment horizontal="right" vertical="center" wrapText="1"/>
    </xf>
    <xf numFmtId="0" fontId="1" fillId="0" borderId="1" xfId="0" applyFont="1" applyFill="1" applyBorder="1" applyAlignment="1">
      <alignment horizontal="center" vertical="center" wrapText="1"/>
    </xf>
  </cellXfs>
  <cellStyles count="2">
    <cellStyle name="Обычный" xfId="0" builtinId="0"/>
    <cellStyle name="Обычный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1047;&#1040;&#1071;&#1042;&#1050;&#1048;\&#1047;&#1040;&#1055;&#1063;&#1040;&#1057;&#1058;&#1048;\&#1050;&#1054;&#1053;&#1058;&#1059;&#105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каз"/>
      <sheetName val="диаграмма"/>
      <sheetName val="приход"/>
      <sheetName val="справочник"/>
      <sheetName val="запчасти справочник"/>
      <sheetName val="04.07"/>
      <sheetName val="05.07"/>
      <sheetName val="06.07"/>
      <sheetName val="07.07"/>
      <sheetName val="10.07"/>
      <sheetName val="машины справочник"/>
      <sheetName val="КОНТУР"/>
    </sheetNames>
    <sheetDataSet>
      <sheetData sheetId="0"/>
      <sheetData sheetId="1"/>
      <sheetData sheetId="2"/>
      <sheetData sheetId="3"/>
      <sheetData sheetId="4"/>
      <sheetData sheetId="5"/>
      <sheetData sheetId="6"/>
      <sheetData sheetId="7"/>
      <sheetData sheetId="8"/>
      <sheetData sheetId="9"/>
      <sheetData sheetId="10">
        <row r="2">
          <cell r="C2" t="str">
            <v>АРМ</v>
          </cell>
        </row>
      </sheetData>
      <sheetData sheetId="1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69638-5DA8-49D2-B3B1-2DB8FD89C63C}">
  <sheetPr>
    <pageSetUpPr fitToPage="1"/>
  </sheetPr>
  <dimension ref="A1:AO58"/>
  <sheetViews>
    <sheetView tabSelected="1" topLeftCell="S1" zoomScale="75" zoomScaleNormal="75" workbookViewId="0">
      <pane ySplit="3" topLeftCell="A4" activePane="bottomLeft" state="frozen"/>
      <selection pane="bottomLeft" activeCell="AP9" sqref="AP8:AP9"/>
    </sheetView>
  </sheetViews>
  <sheetFormatPr defaultColWidth="8.81640625" defaultRowHeight="14.5" x14ac:dyDescent="0.35"/>
  <cols>
    <col min="1" max="1" width="8.81640625" style="25"/>
    <col min="2" max="2" width="15.81640625" style="25" bestFit="1" customWidth="1"/>
    <col min="3" max="3" width="17.6328125" style="25" bestFit="1" customWidth="1"/>
    <col min="4" max="4" width="25.1796875" style="25" bestFit="1" customWidth="1"/>
    <col min="5" max="5" width="15.6328125" style="25" bestFit="1" customWidth="1"/>
    <col min="6" max="7" width="15.6328125" style="25" customWidth="1"/>
    <col min="8" max="9" width="25.1796875" style="25" customWidth="1"/>
    <col min="10" max="10" width="19.453125" style="25" bestFit="1" customWidth="1"/>
    <col min="11" max="11" width="22.1796875" style="25" bestFit="1" customWidth="1"/>
    <col min="12" max="12" width="17.453125" style="25" bestFit="1" customWidth="1"/>
    <col min="13" max="13" width="21.6328125" style="25" bestFit="1" customWidth="1"/>
    <col min="14" max="14" width="94.36328125" style="28" bestFit="1" customWidth="1"/>
    <col min="15" max="15" width="19" style="26" bestFit="1" customWidth="1"/>
    <col min="16" max="17" width="19" style="26" customWidth="1"/>
    <col min="18" max="18" width="97.36328125" style="27" bestFit="1" customWidth="1"/>
    <col min="19" max="19" width="36.36328125" style="28" bestFit="1" customWidth="1"/>
    <col min="20" max="20" width="17" style="26" bestFit="1" customWidth="1"/>
    <col min="21" max="21" width="36.36328125" style="28" customWidth="1"/>
    <col min="22" max="22" width="16.1796875" style="37" bestFit="1" customWidth="1"/>
    <col min="23" max="23" width="24.6328125" style="37" customWidth="1"/>
    <col min="24" max="25" width="16.1796875" style="37" customWidth="1"/>
    <col min="26" max="27" width="14.6328125" style="29" customWidth="1"/>
    <col min="28" max="28" width="14.6328125" style="29" bestFit="1" customWidth="1"/>
    <col min="29" max="29" width="9.6328125" style="29" bestFit="1" customWidth="1"/>
    <col min="30" max="30" width="16.6328125" style="25" bestFit="1" customWidth="1"/>
    <col min="31" max="32" width="16.6328125" style="25" customWidth="1"/>
    <col min="33" max="33" width="15.81640625" style="25" bestFit="1" customWidth="1"/>
    <col min="34" max="34" width="12.453125" style="29" customWidth="1"/>
    <col min="35" max="35" width="9.6328125" style="29" bestFit="1" customWidth="1"/>
    <col min="36" max="36" width="19.6328125" style="30" bestFit="1" customWidth="1"/>
    <col min="37" max="37" width="19.453125" style="25" bestFit="1" customWidth="1"/>
    <col min="38" max="39" width="19.453125" style="25" customWidth="1"/>
    <col min="40" max="40" width="20.453125" style="30" bestFit="1" customWidth="1"/>
    <col min="41" max="41" width="22.453125" style="30" bestFit="1" customWidth="1"/>
    <col min="42" max="16384" width="8.81640625" style="23"/>
  </cols>
  <sheetData>
    <row r="1" spans="1:41" s="46" customFormat="1" ht="333.5" x14ac:dyDescent="0.35">
      <c r="A1" s="25"/>
      <c r="B1" s="25"/>
      <c r="C1" s="25" t="s">
        <v>228</v>
      </c>
      <c r="D1" s="25" t="s">
        <v>164</v>
      </c>
      <c r="E1" s="25" t="s">
        <v>166</v>
      </c>
      <c r="F1" s="25" t="s">
        <v>186</v>
      </c>
      <c r="G1" s="25" t="s">
        <v>234</v>
      </c>
      <c r="H1" s="25" t="s">
        <v>183</v>
      </c>
      <c r="I1" s="25" t="s">
        <v>230</v>
      </c>
      <c r="J1" s="25" t="s">
        <v>242</v>
      </c>
      <c r="K1" s="25" t="s">
        <v>165</v>
      </c>
      <c r="L1" s="25" t="s">
        <v>165</v>
      </c>
      <c r="M1" s="25" t="s">
        <v>165</v>
      </c>
      <c r="N1" s="25" t="s">
        <v>229</v>
      </c>
      <c r="O1" s="25" t="s">
        <v>165</v>
      </c>
      <c r="P1" s="25" t="s">
        <v>165</v>
      </c>
      <c r="Q1" s="25" t="s">
        <v>165</v>
      </c>
      <c r="R1" s="25" t="s">
        <v>222</v>
      </c>
      <c r="S1" s="26" t="s">
        <v>167</v>
      </c>
      <c r="T1" s="26" t="s">
        <v>212</v>
      </c>
      <c r="U1" s="26" t="s">
        <v>189</v>
      </c>
      <c r="V1" s="40" t="s">
        <v>173</v>
      </c>
      <c r="W1" s="34" t="s">
        <v>191</v>
      </c>
      <c r="X1" s="40"/>
      <c r="Y1" s="40"/>
      <c r="Z1" s="45"/>
      <c r="AA1" s="45" t="s">
        <v>185</v>
      </c>
      <c r="AB1" s="45" t="s">
        <v>217</v>
      </c>
      <c r="AC1" s="45" t="s">
        <v>225</v>
      </c>
      <c r="AD1" s="25" t="s">
        <v>174</v>
      </c>
      <c r="AE1" s="25" t="s">
        <v>235</v>
      </c>
      <c r="AF1" s="25" t="s">
        <v>210</v>
      </c>
      <c r="AG1" s="25" t="s">
        <v>175</v>
      </c>
      <c r="AH1" s="45" t="s">
        <v>193</v>
      </c>
      <c r="AI1" s="45" t="s">
        <v>176</v>
      </c>
      <c r="AJ1" s="25" t="s">
        <v>181</v>
      </c>
      <c r="AK1" s="25" t="s">
        <v>237</v>
      </c>
      <c r="AL1" s="25" t="s">
        <v>226</v>
      </c>
      <c r="AM1" s="25" t="s">
        <v>226</v>
      </c>
      <c r="AN1" s="25" t="s">
        <v>211</v>
      </c>
      <c r="AO1" s="25" t="s">
        <v>177</v>
      </c>
    </row>
    <row r="2" spans="1:41" s="46" customFormat="1" x14ac:dyDescent="0.35">
      <c r="A2" s="25"/>
      <c r="B2" s="25">
        <v>0</v>
      </c>
      <c r="C2" s="25">
        <v>7</v>
      </c>
      <c r="D2" s="25">
        <v>7</v>
      </c>
      <c r="E2" s="25">
        <v>1</v>
      </c>
      <c r="F2" s="25">
        <v>1</v>
      </c>
      <c r="G2" s="25">
        <v>1</v>
      </c>
      <c r="H2" s="25">
        <v>1</v>
      </c>
      <c r="I2" s="25">
        <v>1</v>
      </c>
      <c r="J2" s="25">
        <v>1</v>
      </c>
      <c r="K2" s="25">
        <v>1</v>
      </c>
      <c r="L2" s="25">
        <v>1</v>
      </c>
      <c r="M2" s="25">
        <v>1</v>
      </c>
      <c r="N2" s="25">
        <v>1</v>
      </c>
      <c r="O2" s="25">
        <v>1</v>
      </c>
      <c r="P2" s="25">
        <v>1</v>
      </c>
      <c r="Q2" s="25">
        <v>1</v>
      </c>
      <c r="R2" s="25">
        <v>2</v>
      </c>
      <c r="S2" s="26" t="s">
        <v>244</v>
      </c>
      <c r="T2" s="26" t="s">
        <v>244</v>
      </c>
      <c r="U2" s="26" t="s">
        <v>244</v>
      </c>
      <c r="V2" s="40">
        <v>2</v>
      </c>
      <c r="W2" s="34">
        <v>2</v>
      </c>
      <c r="X2" s="40">
        <v>2</v>
      </c>
      <c r="Y2" s="40">
        <v>2</v>
      </c>
      <c r="Z2" s="45"/>
      <c r="AA2" s="45">
        <v>3</v>
      </c>
      <c r="AB2" s="45">
        <v>3</v>
      </c>
      <c r="AC2" s="45">
        <v>3</v>
      </c>
      <c r="AD2" s="25">
        <v>3</v>
      </c>
      <c r="AE2" s="25">
        <v>4</v>
      </c>
      <c r="AF2" s="25">
        <v>5</v>
      </c>
      <c r="AG2" s="25">
        <v>4</v>
      </c>
      <c r="AH2" s="45">
        <v>4</v>
      </c>
      <c r="AI2" s="45">
        <v>4</v>
      </c>
      <c r="AJ2" s="25">
        <v>3</v>
      </c>
      <c r="AK2" s="25">
        <v>6</v>
      </c>
      <c r="AL2" s="25">
        <v>6</v>
      </c>
      <c r="AM2" s="25">
        <v>6</v>
      </c>
      <c r="AN2" s="25">
        <v>8</v>
      </c>
      <c r="AO2" s="25">
        <v>9</v>
      </c>
    </row>
    <row r="3" spans="1:41" s="39" customFormat="1" ht="216" customHeight="1" x14ac:dyDescent="0.35">
      <c r="A3" s="1"/>
      <c r="B3" s="1" t="s">
        <v>0</v>
      </c>
      <c r="C3" s="1" t="s">
        <v>1</v>
      </c>
      <c r="D3" s="1" t="s">
        <v>163</v>
      </c>
      <c r="E3" s="1" t="s">
        <v>8</v>
      </c>
      <c r="F3" s="1" t="s">
        <v>219</v>
      </c>
      <c r="G3" s="1" t="s">
        <v>220</v>
      </c>
      <c r="H3" s="1" t="s">
        <v>182</v>
      </c>
      <c r="I3" s="1" t="s">
        <v>209</v>
      </c>
      <c r="J3" s="57" t="s">
        <v>70</v>
      </c>
      <c r="K3" s="48" t="s">
        <v>194</v>
      </c>
      <c r="L3" s="49" t="s">
        <v>172</v>
      </c>
      <c r="M3" s="49" t="s">
        <v>171</v>
      </c>
      <c r="N3" s="48" t="s">
        <v>170</v>
      </c>
      <c r="O3" s="49" t="s">
        <v>169</v>
      </c>
      <c r="P3" s="49" t="s">
        <v>187</v>
      </c>
      <c r="Q3" s="49" t="s">
        <v>221</v>
      </c>
      <c r="R3" s="43" t="s">
        <v>2</v>
      </c>
      <c r="S3" s="42" t="s">
        <v>168</v>
      </c>
      <c r="T3" s="42" t="s">
        <v>190</v>
      </c>
      <c r="U3" s="42" t="s">
        <v>188</v>
      </c>
      <c r="V3" s="34" t="s">
        <v>3</v>
      </c>
      <c r="W3" s="41" t="s">
        <v>178</v>
      </c>
      <c r="X3" s="34" t="s">
        <v>179</v>
      </c>
      <c r="Y3" s="34" t="s">
        <v>223</v>
      </c>
      <c r="Z3" s="44" t="s">
        <v>180</v>
      </c>
      <c r="AA3" s="44" t="s">
        <v>184</v>
      </c>
      <c r="AB3" s="31" t="s">
        <v>4</v>
      </c>
      <c r="AC3" s="2" t="s">
        <v>192</v>
      </c>
      <c r="AD3" s="42" t="s">
        <v>5</v>
      </c>
      <c r="AE3" s="42" t="s">
        <v>235</v>
      </c>
      <c r="AF3" s="42" t="s">
        <v>224</v>
      </c>
      <c r="AG3" s="2" t="s">
        <v>9</v>
      </c>
      <c r="AH3" s="2"/>
      <c r="AI3" s="2"/>
      <c r="AJ3" s="43" t="s">
        <v>6</v>
      </c>
      <c r="AK3" s="47" t="s">
        <v>7</v>
      </c>
      <c r="AL3" s="47" t="s">
        <v>239</v>
      </c>
      <c r="AM3" s="47" t="s">
        <v>236</v>
      </c>
      <c r="AN3" s="1" t="s">
        <v>227</v>
      </c>
      <c r="AO3" s="1" t="s">
        <v>10</v>
      </c>
    </row>
    <row r="4" spans="1:41" x14ac:dyDescent="0.35">
      <c r="A4" s="3"/>
      <c r="B4" s="3">
        <v>7656</v>
      </c>
      <c r="C4" s="4">
        <v>46057</v>
      </c>
      <c r="D4" s="3">
        <v>141</v>
      </c>
      <c r="E4" s="4">
        <v>46055</v>
      </c>
      <c r="F4" s="4"/>
      <c r="G4" s="4"/>
      <c r="H4" s="3"/>
      <c r="I4" s="3"/>
      <c r="J4" s="3"/>
      <c r="K4" s="33"/>
      <c r="L4" s="12" t="s">
        <v>14</v>
      </c>
      <c r="M4" s="12" t="s">
        <v>14</v>
      </c>
      <c r="N4" s="7" t="s">
        <v>243</v>
      </c>
      <c r="O4" s="6" t="s">
        <v>90</v>
      </c>
      <c r="P4" s="35">
        <v>1</v>
      </c>
      <c r="Q4" s="6"/>
      <c r="R4" s="10" t="s">
        <v>126</v>
      </c>
      <c r="S4" s="5" t="s">
        <v>125</v>
      </c>
      <c r="T4" s="11" t="s">
        <v>124</v>
      </c>
      <c r="U4" s="5"/>
      <c r="V4" s="35">
        <v>200</v>
      </c>
      <c r="W4" s="35"/>
      <c r="X4" s="35"/>
      <c r="Y4" s="35"/>
      <c r="Z4" s="8"/>
      <c r="AA4" s="8"/>
      <c r="AB4" s="8">
        <v>2351.5500000000002</v>
      </c>
      <c r="AC4" s="8">
        <f t="shared" ref="AC4:AC35" si="0">V4*AB4</f>
        <v>470310.00000000006</v>
      </c>
      <c r="AD4" s="3"/>
      <c r="AE4" s="3"/>
      <c r="AF4" s="3"/>
      <c r="AG4" s="3"/>
      <c r="AH4" s="8">
        <v>4392</v>
      </c>
      <c r="AI4" s="8">
        <f t="shared" ref="AI4:AI35" si="1">V4*AH4</f>
        <v>878400</v>
      </c>
      <c r="AJ4" s="9" t="s">
        <v>11</v>
      </c>
      <c r="AK4" s="4">
        <v>46056</v>
      </c>
      <c r="AL4" s="4"/>
      <c r="AM4" s="4"/>
      <c r="AN4" s="9"/>
      <c r="AO4" s="9"/>
    </row>
    <row r="5" spans="1:41" x14ac:dyDescent="0.35">
      <c r="A5" s="3"/>
      <c r="B5" s="3">
        <v>7657</v>
      </c>
      <c r="C5" s="4">
        <v>46057</v>
      </c>
      <c r="D5" s="3">
        <v>141</v>
      </c>
      <c r="E5" s="4">
        <v>46055</v>
      </c>
      <c r="F5" s="4"/>
      <c r="G5" s="4"/>
      <c r="H5" s="3"/>
      <c r="I5" s="3"/>
      <c r="J5" s="3"/>
      <c r="K5" s="33"/>
      <c r="L5" s="12" t="s">
        <v>16</v>
      </c>
      <c r="M5" s="12" t="s">
        <v>34</v>
      </c>
      <c r="N5" s="7" t="s">
        <v>43</v>
      </c>
      <c r="O5" s="6" t="s">
        <v>45</v>
      </c>
      <c r="P5" s="35">
        <v>10</v>
      </c>
      <c r="Q5" s="6"/>
      <c r="R5" s="10" t="s">
        <v>143</v>
      </c>
      <c r="S5" s="5" t="s">
        <v>142</v>
      </c>
      <c r="T5" s="11" t="s">
        <v>141</v>
      </c>
      <c r="U5" s="5"/>
      <c r="V5" s="35">
        <v>10</v>
      </c>
      <c r="W5" s="35"/>
      <c r="X5" s="35"/>
      <c r="Y5" s="35"/>
      <c r="Z5" s="8"/>
      <c r="AA5" s="8"/>
      <c r="AB5" s="8">
        <v>617.32000000000005</v>
      </c>
      <c r="AC5" s="8">
        <f t="shared" si="0"/>
        <v>6173.2000000000007</v>
      </c>
      <c r="AD5" s="3"/>
      <c r="AE5" s="3"/>
      <c r="AF5" s="3"/>
      <c r="AG5" s="3"/>
      <c r="AH5" s="8">
        <v>1424</v>
      </c>
      <c r="AI5" s="8">
        <f t="shared" si="1"/>
        <v>14240</v>
      </c>
      <c r="AJ5" s="9" t="s">
        <v>11</v>
      </c>
      <c r="AK5" s="4">
        <v>46056</v>
      </c>
      <c r="AL5" s="4"/>
      <c r="AM5" s="4"/>
      <c r="AN5" s="9"/>
      <c r="AO5" s="9"/>
    </row>
    <row r="6" spans="1:41" x14ac:dyDescent="0.35">
      <c r="A6" s="3"/>
      <c r="B6" s="3">
        <v>7658</v>
      </c>
      <c r="C6" s="4">
        <v>46057</v>
      </c>
      <c r="D6" s="3">
        <v>141</v>
      </c>
      <c r="E6" s="4">
        <v>46055</v>
      </c>
      <c r="F6" s="4"/>
      <c r="G6" s="4"/>
      <c r="H6" s="3"/>
      <c r="I6" s="3"/>
      <c r="J6" s="3"/>
      <c r="K6" s="33"/>
      <c r="L6" s="12" t="s">
        <v>16</v>
      </c>
      <c r="M6" s="12" t="s">
        <v>34</v>
      </c>
      <c r="N6" s="7" t="s">
        <v>62</v>
      </c>
      <c r="O6" s="6" t="s">
        <v>61</v>
      </c>
      <c r="P6" s="35">
        <v>20</v>
      </c>
      <c r="Q6" s="6"/>
      <c r="R6" s="10" t="s">
        <v>37</v>
      </c>
      <c r="S6" s="5" t="s">
        <v>36</v>
      </c>
      <c r="T6" s="11" t="s">
        <v>35</v>
      </c>
      <c r="U6" s="5"/>
      <c r="V6" s="35">
        <v>20</v>
      </c>
      <c r="W6" s="35"/>
      <c r="X6" s="35"/>
      <c r="Y6" s="35"/>
      <c r="Z6" s="8"/>
      <c r="AA6" s="8"/>
      <c r="AB6" s="8">
        <v>915</v>
      </c>
      <c r="AC6" s="8">
        <f t="shared" si="0"/>
        <v>18300</v>
      </c>
      <c r="AD6" s="3"/>
      <c r="AE6" s="3"/>
      <c r="AF6" s="3"/>
      <c r="AG6" s="3"/>
      <c r="AH6" s="8">
        <v>1688</v>
      </c>
      <c r="AI6" s="8">
        <f t="shared" si="1"/>
        <v>33760</v>
      </c>
      <c r="AJ6" s="9" t="s">
        <v>11</v>
      </c>
      <c r="AK6" s="4">
        <v>46056</v>
      </c>
      <c r="AL6" s="4"/>
      <c r="AM6" s="4"/>
      <c r="AN6" s="9"/>
      <c r="AO6" s="9"/>
    </row>
    <row r="7" spans="1:41" x14ac:dyDescent="0.35">
      <c r="A7" s="3"/>
      <c r="B7" s="3">
        <v>7659</v>
      </c>
      <c r="C7" s="4">
        <v>46057</v>
      </c>
      <c r="D7" s="3">
        <v>141</v>
      </c>
      <c r="E7" s="4">
        <v>46055</v>
      </c>
      <c r="F7" s="4"/>
      <c r="G7" s="4"/>
      <c r="H7" s="3"/>
      <c r="I7" s="3"/>
      <c r="J7" s="3"/>
      <c r="K7" s="33"/>
      <c r="L7" s="12" t="s">
        <v>16</v>
      </c>
      <c r="M7" s="12" t="s">
        <v>34</v>
      </c>
      <c r="N7" s="7" t="s">
        <v>72</v>
      </c>
      <c r="O7" s="6" t="s">
        <v>71</v>
      </c>
      <c r="P7" s="35">
        <v>20</v>
      </c>
      <c r="Q7" s="6"/>
      <c r="R7" s="10" t="s">
        <v>75</v>
      </c>
      <c r="S7" s="5" t="s">
        <v>73</v>
      </c>
      <c r="T7" s="11" t="s">
        <v>74</v>
      </c>
      <c r="U7" s="5"/>
      <c r="V7" s="35">
        <v>20</v>
      </c>
      <c r="W7" s="35"/>
      <c r="X7" s="35"/>
      <c r="Y7" s="35"/>
      <c r="Z7" s="8"/>
      <c r="AA7" s="8"/>
      <c r="AB7" s="8">
        <v>1396.9</v>
      </c>
      <c r="AC7" s="8">
        <f t="shared" si="0"/>
        <v>27938</v>
      </c>
      <c r="AD7" s="3"/>
      <c r="AE7" s="3"/>
      <c r="AF7" s="3"/>
      <c r="AG7" s="3"/>
      <c r="AH7" s="8">
        <v>2864</v>
      </c>
      <c r="AI7" s="8">
        <f t="shared" si="1"/>
        <v>57280</v>
      </c>
      <c r="AJ7" s="9" t="s">
        <v>11</v>
      </c>
      <c r="AK7" s="4">
        <v>46056</v>
      </c>
      <c r="AL7" s="4"/>
      <c r="AM7" s="4"/>
      <c r="AN7" s="9"/>
      <c r="AO7" s="9"/>
    </row>
    <row r="8" spans="1:41" x14ac:dyDescent="0.35">
      <c r="A8" s="14"/>
      <c r="B8" s="14">
        <v>7660</v>
      </c>
      <c r="C8" s="16"/>
      <c r="D8" s="14"/>
      <c r="E8" s="16">
        <v>46055</v>
      </c>
      <c r="F8" s="16"/>
      <c r="G8" s="16"/>
      <c r="H8" s="14"/>
      <c r="I8" s="14"/>
      <c r="J8" s="14"/>
      <c r="K8" s="32"/>
      <c r="L8" s="15" t="s">
        <v>97</v>
      </c>
      <c r="M8" s="15" t="s">
        <v>40</v>
      </c>
      <c r="N8" s="20" t="s">
        <v>92</v>
      </c>
      <c r="O8" s="24" t="s">
        <v>91</v>
      </c>
      <c r="P8" s="36">
        <v>1</v>
      </c>
      <c r="Q8" s="24"/>
      <c r="R8" s="18"/>
      <c r="S8" s="19"/>
      <c r="T8" s="17"/>
      <c r="U8" s="19"/>
      <c r="V8" s="36">
        <v>1</v>
      </c>
      <c r="W8" s="36"/>
      <c r="X8" s="36"/>
      <c r="Y8" s="36"/>
      <c r="Z8" s="21"/>
      <c r="AA8" s="21"/>
      <c r="AB8" s="21"/>
      <c r="AC8" s="21">
        <f t="shared" si="0"/>
        <v>0</v>
      </c>
      <c r="AD8" s="14"/>
      <c r="AE8" s="52"/>
      <c r="AF8" s="14"/>
      <c r="AG8" s="14"/>
      <c r="AH8" s="21">
        <v>0</v>
      </c>
      <c r="AI8" s="21">
        <f t="shared" si="1"/>
        <v>0</v>
      </c>
      <c r="AJ8" s="22"/>
      <c r="AK8" s="16"/>
      <c r="AL8" s="16"/>
      <c r="AM8" s="16"/>
      <c r="AN8" s="22"/>
      <c r="AO8" s="22"/>
    </row>
    <row r="9" spans="1:41" x14ac:dyDescent="0.35">
      <c r="A9" s="3"/>
      <c r="B9" s="3">
        <v>7661</v>
      </c>
      <c r="C9" s="4">
        <v>46057</v>
      </c>
      <c r="D9" s="3">
        <v>141</v>
      </c>
      <c r="E9" s="4">
        <v>46055</v>
      </c>
      <c r="F9" s="4"/>
      <c r="G9" s="4"/>
      <c r="H9" s="3"/>
      <c r="I9" s="3"/>
      <c r="J9" s="3"/>
      <c r="K9" s="33"/>
      <c r="L9" s="12" t="s">
        <v>17</v>
      </c>
      <c r="M9" s="12" t="s">
        <v>40</v>
      </c>
      <c r="N9" s="7" t="s">
        <v>94</v>
      </c>
      <c r="O9" s="6" t="s">
        <v>93</v>
      </c>
      <c r="P9" s="35">
        <v>1</v>
      </c>
      <c r="Q9" s="6"/>
      <c r="R9" s="10" t="s">
        <v>138</v>
      </c>
      <c r="S9" s="5" t="s">
        <v>93</v>
      </c>
      <c r="T9" s="11" t="s">
        <v>137</v>
      </c>
      <c r="U9" s="5"/>
      <c r="V9" s="35">
        <v>1</v>
      </c>
      <c r="W9" s="35"/>
      <c r="X9" s="35"/>
      <c r="Y9" s="35"/>
      <c r="Z9" s="8"/>
      <c r="AA9" s="8"/>
      <c r="AB9" s="8">
        <v>807.03</v>
      </c>
      <c r="AC9" s="8">
        <f t="shared" si="0"/>
        <v>807.03</v>
      </c>
      <c r="AD9" s="3"/>
      <c r="AE9" s="3"/>
      <c r="AF9" s="3"/>
      <c r="AG9" s="3"/>
      <c r="AH9" s="8">
        <v>1472</v>
      </c>
      <c r="AI9" s="8">
        <f t="shared" si="1"/>
        <v>1472</v>
      </c>
      <c r="AJ9" s="9" t="s">
        <v>11</v>
      </c>
      <c r="AK9" s="4">
        <v>46056</v>
      </c>
      <c r="AL9" s="4"/>
      <c r="AM9" s="4"/>
      <c r="AN9" s="9"/>
      <c r="AO9" s="9"/>
    </row>
    <row r="10" spans="1:41" x14ac:dyDescent="0.35">
      <c r="A10" s="3"/>
      <c r="B10" s="3">
        <v>7662</v>
      </c>
      <c r="C10" s="4">
        <v>46057</v>
      </c>
      <c r="D10" s="3">
        <v>141</v>
      </c>
      <c r="E10" s="4">
        <v>46055</v>
      </c>
      <c r="F10" s="4"/>
      <c r="G10" s="4"/>
      <c r="H10" s="3"/>
      <c r="I10" s="3"/>
      <c r="J10" s="3"/>
      <c r="K10" s="33"/>
      <c r="L10" s="12" t="s">
        <v>17</v>
      </c>
      <c r="M10" s="12" t="s">
        <v>40</v>
      </c>
      <c r="N10" s="7" t="s">
        <v>96</v>
      </c>
      <c r="O10" s="6" t="s">
        <v>95</v>
      </c>
      <c r="P10" s="35">
        <v>1</v>
      </c>
      <c r="Q10" s="6"/>
      <c r="R10" s="10" t="s">
        <v>140</v>
      </c>
      <c r="S10" s="5" t="s">
        <v>95</v>
      </c>
      <c r="T10" s="11" t="s">
        <v>139</v>
      </c>
      <c r="U10" s="5"/>
      <c r="V10" s="35">
        <v>1</v>
      </c>
      <c r="W10" s="35"/>
      <c r="X10" s="35"/>
      <c r="Y10" s="35"/>
      <c r="Z10" s="8"/>
      <c r="AA10" s="8"/>
      <c r="AB10" s="8">
        <v>187</v>
      </c>
      <c r="AC10" s="8">
        <f t="shared" si="0"/>
        <v>187</v>
      </c>
      <c r="AD10" s="3"/>
      <c r="AE10" s="3"/>
      <c r="AF10" s="3"/>
      <c r="AG10" s="3"/>
      <c r="AH10" s="8">
        <v>608</v>
      </c>
      <c r="AI10" s="8">
        <f t="shared" si="1"/>
        <v>608</v>
      </c>
      <c r="AJ10" s="9" t="s">
        <v>11</v>
      </c>
      <c r="AK10" s="4">
        <v>46056</v>
      </c>
      <c r="AL10" s="4"/>
      <c r="AM10" s="4"/>
      <c r="AN10" s="9"/>
      <c r="AO10" s="9"/>
    </row>
    <row r="11" spans="1:41" ht="34.5" customHeight="1" x14ac:dyDescent="0.35">
      <c r="A11" s="3"/>
      <c r="B11" s="3">
        <v>7672</v>
      </c>
      <c r="C11" s="4">
        <v>46058</v>
      </c>
      <c r="D11" s="3">
        <v>142</v>
      </c>
      <c r="E11" s="4">
        <v>46056</v>
      </c>
      <c r="F11" s="4"/>
      <c r="G11" s="4"/>
      <c r="H11" s="3"/>
      <c r="I11" s="3"/>
      <c r="J11" s="3"/>
      <c r="K11" s="33"/>
      <c r="L11" s="12" t="s">
        <v>47</v>
      </c>
      <c r="M11" s="12" t="s">
        <v>40</v>
      </c>
      <c r="N11" s="7" t="s">
        <v>76</v>
      </c>
      <c r="O11" s="6" t="s">
        <v>98</v>
      </c>
      <c r="P11" s="35">
        <v>1</v>
      </c>
      <c r="Q11" s="6"/>
      <c r="R11" s="10" t="s">
        <v>65</v>
      </c>
      <c r="S11" s="5" t="s">
        <v>66</v>
      </c>
      <c r="T11" s="11" t="s">
        <v>64</v>
      </c>
      <c r="U11" s="5"/>
      <c r="V11" s="35">
        <v>1</v>
      </c>
      <c r="W11" s="35"/>
      <c r="X11" s="35"/>
      <c r="Y11" s="35"/>
      <c r="Z11" s="8"/>
      <c r="AA11" s="8"/>
      <c r="AB11" s="8">
        <v>1164.49</v>
      </c>
      <c r="AC11" s="8">
        <f t="shared" si="0"/>
        <v>1164.49</v>
      </c>
      <c r="AD11" s="3"/>
      <c r="AE11" s="3"/>
      <c r="AF11" s="3"/>
      <c r="AG11" s="3"/>
      <c r="AH11" s="8">
        <v>2048</v>
      </c>
      <c r="AI11" s="8">
        <f t="shared" si="1"/>
        <v>2048</v>
      </c>
      <c r="AJ11" s="9" t="s">
        <v>11</v>
      </c>
      <c r="AK11" s="4">
        <v>46057</v>
      </c>
      <c r="AL11" s="4"/>
      <c r="AM11" s="4"/>
      <c r="AN11" s="9" t="s">
        <v>13</v>
      </c>
      <c r="AO11" s="9"/>
    </row>
    <row r="12" spans="1:41" ht="34.5" customHeight="1" x14ac:dyDescent="0.35">
      <c r="A12" s="3"/>
      <c r="B12" s="3">
        <v>7673</v>
      </c>
      <c r="C12" s="4">
        <v>46058</v>
      </c>
      <c r="D12" s="3">
        <v>142</v>
      </c>
      <c r="E12" s="4">
        <v>46056</v>
      </c>
      <c r="F12" s="4"/>
      <c r="G12" s="4"/>
      <c r="H12" s="3"/>
      <c r="I12" s="3"/>
      <c r="J12" s="3"/>
      <c r="K12" s="33"/>
      <c r="L12" s="12" t="s">
        <v>18</v>
      </c>
      <c r="M12" s="12" t="s">
        <v>40</v>
      </c>
      <c r="N12" s="7" t="s">
        <v>100</v>
      </c>
      <c r="O12" s="6" t="s">
        <v>99</v>
      </c>
      <c r="P12" s="35">
        <v>3</v>
      </c>
      <c r="Q12" s="6"/>
      <c r="R12" s="10" t="s">
        <v>136</v>
      </c>
      <c r="S12" s="5" t="s">
        <v>135</v>
      </c>
      <c r="T12" s="11" t="s">
        <v>134</v>
      </c>
      <c r="U12" s="5"/>
      <c r="V12" s="35">
        <v>3</v>
      </c>
      <c r="W12" s="35"/>
      <c r="X12" s="35"/>
      <c r="Y12" s="35"/>
      <c r="Z12" s="8"/>
      <c r="AA12" s="8"/>
      <c r="AB12" s="8">
        <v>543.51</v>
      </c>
      <c r="AC12" s="8">
        <f t="shared" si="0"/>
        <v>1630.53</v>
      </c>
      <c r="AD12" s="3"/>
      <c r="AE12" s="3"/>
      <c r="AF12" s="3"/>
      <c r="AG12" s="3"/>
      <c r="AH12" s="8">
        <v>1048</v>
      </c>
      <c r="AI12" s="8">
        <f t="shared" si="1"/>
        <v>3144</v>
      </c>
      <c r="AJ12" s="9" t="s">
        <v>11</v>
      </c>
      <c r="AK12" s="4">
        <v>46057</v>
      </c>
      <c r="AL12" s="4"/>
      <c r="AM12" s="4"/>
      <c r="AN12" s="9" t="s">
        <v>13</v>
      </c>
      <c r="AO12" s="9"/>
    </row>
    <row r="13" spans="1:41" x14ac:dyDescent="0.35">
      <c r="A13" s="3"/>
      <c r="B13" s="3">
        <v>7693</v>
      </c>
      <c r="C13" s="4">
        <v>46064</v>
      </c>
      <c r="D13" s="3">
        <v>150</v>
      </c>
      <c r="E13" s="4">
        <v>46056</v>
      </c>
      <c r="F13" s="4"/>
      <c r="G13" s="4"/>
      <c r="H13" s="3"/>
      <c r="I13" s="3"/>
      <c r="J13" s="3"/>
      <c r="K13" s="33" t="s">
        <v>55</v>
      </c>
      <c r="L13" s="12" t="s">
        <v>60</v>
      </c>
      <c r="M13" s="12" t="s">
        <v>41</v>
      </c>
      <c r="N13" s="7" t="s">
        <v>102</v>
      </c>
      <c r="O13" s="6" t="s">
        <v>101</v>
      </c>
      <c r="P13" s="35">
        <v>1</v>
      </c>
      <c r="Q13" s="6"/>
      <c r="R13" s="10" t="s">
        <v>161</v>
      </c>
      <c r="S13" s="5" t="s">
        <v>162</v>
      </c>
      <c r="T13" s="11"/>
      <c r="U13" s="5"/>
      <c r="V13" s="35">
        <v>1</v>
      </c>
      <c r="W13" s="35"/>
      <c r="X13" s="35"/>
      <c r="Y13" s="35"/>
      <c r="Z13" s="8"/>
      <c r="AA13" s="8"/>
      <c r="AB13" s="8">
        <v>11490</v>
      </c>
      <c r="AC13" s="8">
        <f t="shared" si="0"/>
        <v>11490</v>
      </c>
      <c r="AD13" s="3"/>
      <c r="AE13" s="3"/>
      <c r="AF13" s="3"/>
      <c r="AG13" s="3"/>
      <c r="AH13" s="8">
        <v>18384</v>
      </c>
      <c r="AI13" s="8">
        <f t="shared" si="1"/>
        <v>18384</v>
      </c>
      <c r="AJ13" s="9" t="s">
        <v>39</v>
      </c>
      <c r="AK13" s="4">
        <v>46063</v>
      </c>
      <c r="AL13" s="4"/>
      <c r="AM13" s="4"/>
      <c r="AN13" s="9"/>
      <c r="AO13" s="9"/>
    </row>
    <row r="14" spans="1:41" x14ac:dyDescent="0.35">
      <c r="A14" s="3"/>
      <c r="B14" s="3">
        <v>7694</v>
      </c>
      <c r="C14" s="4">
        <v>46059</v>
      </c>
      <c r="D14" s="3">
        <v>144</v>
      </c>
      <c r="E14" s="4">
        <v>46056</v>
      </c>
      <c r="F14" s="4"/>
      <c r="G14" s="4"/>
      <c r="H14" s="3"/>
      <c r="I14" s="3"/>
      <c r="J14" s="3"/>
      <c r="K14" s="33"/>
      <c r="L14" s="12" t="s">
        <v>119</v>
      </c>
      <c r="M14" s="12" t="s">
        <v>40</v>
      </c>
      <c r="N14" s="7" t="s">
        <v>22</v>
      </c>
      <c r="O14" s="6" t="s">
        <v>24</v>
      </c>
      <c r="P14" s="35">
        <v>1</v>
      </c>
      <c r="Q14" s="6"/>
      <c r="R14" s="10" t="s">
        <v>30</v>
      </c>
      <c r="S14" s="5" t="s">
        <v>29</v>
      </c>
      <c r="T14" s="11" t="s">
        <v>28</v>
      </c>
      <c r="U14" s="5"/>
      <c r="V14" s="35">
        <v>1</v>
      </c>
      <c r="W14" s="35"/>
      <c r="X14" s="35"/>
      <c r="Y14" s="35"/>
      <c r="Z14" s="8"/>
      <c r="AA14" s="8"/>
      <c r="AB14" s="8">
        <v>1820.24</v>
      </c>
      <c r="AC14" s="8">
        <f t="shared" si="0"/>
        <v>1820.24</v>
      </c>
      <c r="AD14" s="3"/>
      <c r="AE14" s="3"/>
      <c r="AF14" s="3"/>
      <c r="AG14" s="3"/>
      <c r="AH14" s="8">
        <v>3504</v>
      </c>
      <c r="AI14" s="8">
        <f t="shared" si="1"/>
        <v>3504</v>
      </c>
      <c r="AJ14" s="9" t="s">
        <v>11</v>
      </c>
      <c r="AK14" s="4">
        <v>46058</v>
      </c>
      <c r="AL14" s="4"/>
      <c r="AM14" s="4"/>
      <c r="AN14" s="9"/>
      <c r="AO14" s="9"/>
    </row>
    <row r="15" spans="1:41" x14ac:dyDescent="0.35">
      <c r="A15" s="3"/>
      <c r="B15" s="3">
        <v>7695</v>
      </c>
      <c r="C15" s="4">
        <v>46058</v>
      </c>
      <c r="D15" s="3">
        <v>142</v>
      </c>
      <c r="E15" s="4">
        <v>46056</v>
      </c>
      <c r="F15" s="4"/>
      <c r="G15" s="4"/>
      <c r="H15" s="3"/>
      <c r="I15" s="3"/>
      <c r="J15" s="3"/>
      <c r="K15" s="33"/>
      <c r="L15" s="12" t="s">
        <v>21</v>
      </c>
      <c r="M15" s="12" t="s">
        <v>40</v>
      </c>
      <c r="N15" s="7" t="s">
        <v>104</v>
      </c>
      <c r="O15" s="6" t="s">
        <v>103</v>
      </c>
      <c r="P15" s="35">
        <v>1</v>
      </c>
      <c r="Q15" s="6"/>
      <c r="R15" s="10" t="s">
        <v>131</v>
      </c>
      <c r="S15" s="5" t="s">
        <v>103</v>
      </c>
      <c r="T15" s="11" t="s">
        <v>130</v>
      </c>
      <c r="U15" s="5"/>
      <c r="V15" s="35">
        <v>1</v>
      </c>
      <c r="W15" s="35"/>
      <c r="X15" s="35"/>
      <c r="Y15" s="35"/>
      <c r="Z15" s="8"/>
      <c r="AA15" s="8"/>
      <c r="AB15" s="8">
        <v>250.1</v>
      </c>
      <c r="AC15" s="8">
        <f t="shared" si="0"/>
        <v>250.1</v>
      </c>
      <c r="AD15" s="3"/>
      <c r="AE15" s="3"/>
      <c r="AF15" s="3"/>
      <c r="AG15" s="3"/>
      <c r="AH15" s="8">
        <v>448</v>
      </c>
      <c r="AI15" s="8">
        <f t="shared" si="1"/>
        <v>448</v>
      </c>
      <c r="AJ15" s="9" t="s">
        <v>11</v>
      </c>
      <c r="AK15" s="4">
        <v>46057</v>
      </c>
      <c r="AL15" s="4"/>
      <c r="AM15" s="4"/>
      <c r="AN15" s="9"/>
      <c r="AO15" s="9"/>
    </row>
    <row r="16" spans="1:41" x14ac:dyDescent="0.35">
      <c r="A16" s="3"/>
      <c r="B16" s="3">
        <v>7696</v>
      </c>
      <c r="C16" s="4">
        <v>46058</v>
      </c>
      <c r="D16" s="3">
        <v>142</v>
      </c>
      <c r="E16" s="4">
        <v>46056</v>
      </c>
      <c r="F16" s="4"/>
      <c r="G16" s="4"/>
      <c r="H16" s="3"/>
      <c r="I16" s="3"/>
      <c r="J16" s="3"/>
      <c r="K16" s="33"/>
      <c r="L16" s="12" t="s">
        <v>25</v>
      </c>
      <c r="M16" s="12" t="s">
        <v>40</v>
      </c>
      <c r="N16" s="7" t="s">
        <v>106</v>
      </c>
      <c r="O16" s="6" t="s">
        <v>105</v>
      </c>
      <c r="P16" s="35">
        <v>1</v>
      </c>
      <c r="Q16" s="6"/>
      <c r="R16" s="10" t="s">
        <v>133</v>
      </c>
      <c r="S16" s="5" t="s">
        <v>105</v>
      </c>
      <c r="T16" s="11" t="s">
        <v>132</v>
      </c>
      <c r="U16" s="5"/>
      <c r="V16" s="35">
        <v>1</v>
      </c>
      <c r="W16" s="35"/>
      <c r="X16" s="35"/>
      <c r="Y16" s="35"/>
      <c r="Z16" s="8"/>
      <c r="AA16" s="8"/>
      <c r="AB16" s="8">
        <v>13036.1</v>
      </c>
      <c r="AC16" s="8">
        <f t="shared" si="0"/>
        <v>13036.1</v>
      </c>
      <c r="AD16" s="3"/>
      <c r="AE16" s="3"/>
      <c r="AF16" s="3"/>
      <c r="AG16" s="3"/>
      <c r="AH16" s="8">
        <v>24056</v>
      </c>
      <c r="AI16" s="8">
        <f t="shared" si="1"/>
        <v>24056</v>
      </c>
      <c r="AJ16" s="9" t="s">
        <v>11</v>
      </c>
      <c r="AK16" s="4">
        <v>46057</v>
      </c>
      <c r="AL16" s="4"/>
      <c r="AM16" s="4"/>
      <c r="AN16" s="9"/>
      <c r="AO16" s="9"/>
    </row>
    <row r="17" spans="1:41" x14ac:dyDescent="0.35">
      <c r="A17" s="3"/>
      <c r="B17" s="3">
        <v>7697</v>
      </c>
      <c r="C17" s="4">
        <v>46058</v>
      </c>
      <c r="D17" s="3">
        <v>142</v>
      </c>
      <c r="E17" s="4">
        <v>46056</v>
      </c>
      <c r="F17" s="4"/>
      <c r="G17" s="4"/>
      <c r="H17" s="3"/>
      <c r="I17" s="3"/>
      <c r="J17" s="3"/>
      <c r="K17" s="33"/>
      <c r="L17" s="12" t="s">
        <v>49</v>
      </c>
      <c r="M17" s="12" t="s">
        <v>40</v>
      </c>
      <c r="N17" s="7" t="s">
        <v>52</v>
      </c>
      <c r="O17" s="6" t="s">
        <v>51</v>
      </c>
      <c r="P17" s="35">
        <v>1</v>
      </c>
      <c r="Q17" s="6"/>
      <c r="R17" s="10" t="s">
        <v>54</v>
      </c>
      <c r="S17" s="5" t="s">
        <v>51</v>
      </c>
      <c r="T17" s="11" t="s">
        <v>53</v>
      </c>
      <c r="U17" s="5"/>
      <c r="V17" s="35">
        <v>1</v>
      </c>
      <c r="W17" s="35"/>
      <c r="X17" s="35"/>
      <c r="Y17" s="35"/>
      <c r="Z17" s="8"/>
      <c r="AA17" s="8"/>
      <c r="AB17" s="8">
        <v>15690.42</v>
      </c>
      <c r="AC17" s="8">
        <f t="shared" si="0"/>
        <v>15690.42</v>
      </c>
      <c r="AD17" s="3"/>
      <c r="AE17" s="3"/>
      <c r="AF17" s="3"/>
      <c r="AG17" s="3"/>
      <c r="AH17" s="8">
        <v>29232</v>
      </c>
      <c r="AI17" s="8">
        <f t="shared" si="1"/>
        <v>29232</v>
      </c>
      <c r="AJ17" s="9" t="s">
        <v>11</v>
      </c>
      <c r="AK17" s="4">
        <v>46057</v>
      </c>
      <c r="AL17" s="4"/>
      <c r="AM17" s="4"/>
      <c r="AN17" s="9"/>
      <c r="AO17" s="9"/>
    </row>
    <row r="18" spans="1:41" x14ac:dyDescent="0.35">
      <c r="A18" s="14"/>
      <c r="B18" s="14">
        <v>7698</v>
      </c>
      <c r="C18" s="16">
        <v>46059</v>
      </c>
      <c r="D18" s="14">
        <v>144</v>
      </c>
      <c r="E18" s="16">
        <v>46056</v>
      </c>
      <c r="F18" s="16"/>
      <c r="G18" s="16"/>
      <c r="H18" s="14"/>
      <c r="I18" s="14"/>
      <c r="J18" s="14"/>
      <c r="K18" s="32"/>
      <c r="L18" s="15" t="s">
        <v>25</v>
      </c>
      <c r="M18" s="15" t="s">
        <v>40</v>
      </c>
      <c r="N18" s="20" t="s">
        <v>22</v>
      </c>
      <c r="O18" s="24" t="s">
        <v>48</v>
      </c>
      <c r="P18" s="36">
        <v>1</v>
      </c>
      <c r="Q18" s="24"/>
      <c r="R18" s="18" t="s">
        <v>30</v>
      </c>
      <c r="S18" s="19" t="s">
        <v>29</v>
      </c>
      <c r="T18" s="17" t="s">
        <v>28</v>
      </c>
      <c r="U18" s="19"/>
      <c r="V18" s="36">
        <v>1</v>
      </c>
      <c r="W18" s="36"/>
      <c r="X18" s="36"/>
      <c r="Y18" s="36"/>
      <c r="Z18" s="21"/>
      <c r="AA18" s="21"/>
      <c r="AB18" s="21">
        <v>1820.24</v>
      </c>
      <c r="AC18" s="21">
        <f t="shared" si="0"/>
        <v>1820.24</v>
      </c>
      <c r="AD18" s="14"/>
      <c r="AE18" s="52"/>
      <c r="AF18" s="14"/>
      <c r="AG18" s="14"/>
      <c r="AH18" s="21">
        <v>3504</v>
      </c>
      <c r="AI18" s="21">
        <f t="shared" si="1"/>
        <v>3504</v>
      </c>
      <c r="AJ18" s="22" t="s">
        <v>11</v>
      </c>
      <c r="AK18" s="16">
        <v>46058</v>
      </c>
      <c r="AL18" s="16"/>
      <c r="AM18" s="16"/>
      <c r="AN18" s="22"/>
      <c r="AO18" s="22"/>
    </row>
    <row r="19" spans="1:41" x14ac:dyDescent="0.35">
      <c r="A19" s="14"/>
      <c r="B19" s="14">
        <v>7699</v>
      </c>
      <c r="C19" s="16">
        <v>46058</v>
      </c>
      <c r="D19" s="14">
        <v>142</v>
      </c>
      <c r="E19" s="16">
        <v>46056</v>
      </c>
      <c r="F19" s="16"/>
      <c r="G19" s="16"/>
      <c r="H19" s="14"/>
      <c r="I19" s="14"/>
      <c r="J19" s="14"/>
      <c r="K19" s="32"/>
      <c r="L19" s="15" t="s">
        <v>21</v>
      </c>
      <c r="M19" s="15" t="s">
        <v>40</v>
      </c>
      <c r="N19" s="20" t="s">
        <v>19</v>
      </c>
      <c r="O19" s="24" t="s">
        <v>20</v>
      </c>
      <c r="P19" s="36">
        <v>1</v>
      </c>
      <c r="Q19" s="24"/>
      <c r="R19" s="18" t="s">
        <v>82</v>
      </c>
      <c r="S19" s="19" t="s">
        <v>146</v>
      </c>
      <c r="T19" s="17"/>
      <c r="U19" s="19"/>
      <c r="V19" s="36">
        <v>1</v>
      </c>
      <c r="W19" s="36"/>
      <c r="X19" s="36"/>
      <c r="Y19" s="36"/>
      <c r="Z19" s="21"/>
      <c r="AA19" s="21"/>
      <c r="AB19" s="21">
        <v>490</v>
      </c>
      <c r="AC19" s="21">
        <f t="shared" si="0"/>
        <v>490</v>
      </c>
      <c r="AD19" s="14"/>
      <c r="AE19" s="52"/>
      <c r="AF19" s="14"/>
      <c r="AG19" s="14"/>
      <c r="AH19" s="21">
        <v>857</v>
      </c>
      <c r="AI19" s="21">
        <f t="shared" si="1"/>
        <v>857</v>
      </c>
      <c r="AJ19" s="22" t="s">
        <v>32</v>
      </c>
      <c r="AK19" s="16">
        <v>46057</v>
      </c>
      <c r="AL19" s="16"/>
      <c r="AM19" s="16"/>
      <c r="AN19" s="22"/>
      <c r="AO19" s="22"/>
    </row>
    <row r="20" spans="1:41" x14ac:dyDescent="0.35">
      <c r="A20" s="14"/>
      <c r="B20" s="14">
        <v>7700</v>
      </c>
      <c r="C20" s="16">
        <v>46058</v>
      </c>
      <c r="D20" s="14">
        <v>142</v>
      </c>
      <c r="E20" s="16">
        <v>46056</v>
      </c>
      <c r="F20" s="16"/>
      <c r="G20" s="16"/>
      <c r="H20" s="14"/>
      <c r="I20" s="14"/>
      <c r="J20" s="14"/>
      <c r="K20" s="32"/>
      <c r="L20" s="15" t="s">
        <v>120</v>
      </c>
      <c r="M20" s="15" t="s">
        <v>40</v>
      </c>
      <c r="N20" s="20" t="s">
        <v>19</v>
      </c>
      <c r="O20" s="24" t="s">
        <v>107</v>
      </c>
      <c r="P20" s="36">
        <v>1</v>
      </c>
      <c r="Q20" s="24"/>
      <c r="R20" s="18" t="s">
        <v>147</v>
      </c>
      <c r="S20" s="19" t="s">
        <v>107</v>
      </c>
      <c r="T20" s="17"/>
      <c r="U20" s="19"/>
      <c r="V20" s="36">
        <v>1</v>
      </c>
      <c r="W20" s="36"/>
      <c r="X20" s="36"/>
      <c r="Y20" s="36"/>
      <c r="Z20" s="21"/>
      <c r="AA20" s="21"/>
      <c r="AB20" s="21">
        <v>625</v>
      </c>
      <c r="AC20" s="21">
        <f t="shared" si="0"/>
        <v>625</v>
      </c>
      <c r="AD20" s="14"/>
      <c r="AE20" s="52"/>
      <c r="AF20" s="14"/>
      <c r="AG20" s="14"/>
      <c r="AH20" s="21">
        <v>1094</v>
      </c>
      <c r="AI20" s="21">
        <f t="shared" si="1"/>
        <v>1094</v>
      </c>
      <c r="AJ20" s="22" t="s">
        <v>32</v>
      </c>
      <c r="AK20" s="16">
        <v>46057</v>
      </c>
      <c r="AL20" s="16"/>
      <c r="AM20" s="16"/>
      <c r="AN20" s="22"/>
      <c r="AO20" s="22"/>
    </row>
    <row r="21" spans="1:41" x14ac:dyDescent="0.35">
      <c r="A21" s="14"/>
      <c r="B21" s="14">
        <v>7701</v>
      </c>
      <c r="C21" s="16">
        <v>46059</v>
      </c>
      <c r="D21" s="14">
        <v>144</v>
      </c>
      <c r="E21" s="16">
        <v>46056</v>
      </c>
      <c r="F21" s="16"/>
      <c r="G21" s="16"/>
      <c r="H21" s="14"/>
      <c r="I21" s="14"/>
      <c r="J21" s="14" t="s">
        <v>240</v>
      </c>
      <c r="K21" s="32"/>
      <c r="L21" s="15" t="s">
        <v>21</v>
      </c>
      <c r="M21" s="15" t="s">
        <v>40</v>
      </c>
      <c r="N21" s="20" t="s">
        <v>109</v>
      </c>
      <c r="O21" s="24" t="s">
        <v>108</v>
      </c>
      <c r="P21" s="36">
        <v>1</v>
      </c>
      <c r="Q21" s="24"/>
      <c r="R21" s="18" t="s">
        <v>109</v>
      </c>
      <c r="S21" s="19" t="s">
        <v>108</v>
      </c>
      <c r="T21" s="17"/>
      <c r="U21" s="19"/>
      <c r="V21" s="36">
        <v>1</v>
      </c>
      <c r="W21" s="36"/>
      <c r="X21" s="36"/>
      <c r="Y21" s="36"/>
      <c r="Z21" s="21"/>
      <c r="AA21" s="21"/>
      <c r="AB21" s="21">
        <v>16860</v>
      </c>
      <c r="AC21" s="21">
        <f t="shared" si="0"/>
        <v>16860</v>
      </c>
      <c r="AD21" s="14"/>
      <c r="AE21" s="52"/>
      <c r="AF21" s="14"/>
      <c r="AG21" s="14"/>
      <c r="AH21" s="21">
        <v>26976</v>
      </c>
      <c r="AI21" s="21">
        <f t="shared" si="1"/>
        <v>26976</v>
      </c>
      <c r="AJ21" s="22" t="s">
        <v>39</v>
      </c>
      <c r="AK21" s="16">
        <v>45693</v>
      </c>
      <c r="AL21" s="16"/>
      <c r="AM21" s="16"/>
      <c r="AN21" s="22"/>
      <c r="AO21" s="22"/>
    </row>
    <row r="22" spans="1:41" x14ac:dyDescent="0.35">
      <c r="A22" s="14"/>
      <c r="B22" s="14">
        <v>7702</v>
      </c>
      <c r="C22" s="16">
        <v>46059</v>
      </c>
      <c r="D22" s="14">
        <v>144</v>
      </c>
      <c r="E22" s="16">
        <v>46056</v>
      </c>
      <c r="F22" s="16"/>
      <c r="G22" s="16"/>
      <c r="H22" s="14"/>
      <c r="I22" s="14"/>
      <c r="J22" s="14" t="s">
        <v>241</v>
      </c>
      <c r="K22" s="32" t="s">
        <v>121</v>
      </c>
      <c r="L22" s="15" t="s">
        <v>122</v>
      </c>
      <c r="M22" s="15" t="s">
        <v>40</v>
      </c>
      <c r="N22" s="20" t="s">
        <v>111</v>
      </c>
      <c r="O22" s="24" t="s">
        <v>110</v>
      </c>
      <c r="P22" s="36">
        <v>2</v>
      </c>
      <c r="Q22" s="24"/>
      <c r="R22" s="18" t="s">
        <v>148</v>
      </c>
      <c r="S22" s="19" t="s">
        <v>149</v>
      </c>
      <c r="T22" s="17"/>
      <c r="U22" s="19"/>
      <c r="V22" s="36">
        <v>2</v>
      </c>
      <c r="W22" s="36"/>
      <c r="X22" s="36"/>
      <c r="Y22" s="36"/>
      <c r="Z22" s="21"/>
      <c r="AA22" s="21"/>
      <c r="AB22" s="21">
        <v>257.39999999999998</v>
      </c>
      <c r="AC22" s="21">
        <f t="shared" si="0"/>
        <v>514.79999999999995</v>
      </c>
      <c r="AD22" s="14"/>
      <c r="AE22" s="52"/>
      <c r="AF22" s="14"/>
      <c r="AG22" s="14"/>
      <c r="AH22" s="21">
        <v>463</v>
      </c>
      <c r="AI22" s="21">
        <f t="shared" si="1"/>
        <v>926</v>
      </c>
      <c r="AJ22" s="22" t="s">
        <v>38</v>
      </c>
      <c r="AK22" s="16">
        <v>45693</v>
      </c>
      <c r="AL22" s="16"/>
      <c r="AM22" s="16"/>
      <c r="AN22" s="22"/>
      <c r="AO22" s="22"/>
    </row>
    <row r="23" spans="1:41" x14ac:dyDescent="0.35">
      <c r="A23" s="14"/>
      <c r="B23" s="14">
        <v>7703</v>
      </c>
      <c r="C23" s="16">
        <v>46058</v>
      </c>
      <c r="D23" s="14">
        <v>142</v>
      </c>
      <c r="E23" s="16">
        <v>46056</v>
      </c>
      <c r="F23" s="16"/>
      <c r="G23" s="16"/>
      <c r="H23" s="14"/>
      <c r="I23" s="14"/>
      <c r="J23" s="14"/>
      <c r="K23" s="32"/>
      <c r="L23" s="15" t="s">
        <v>63</v>
      </c>
      <c r="M23" s="15" t="s">
        <v>40</v>
      </c>
      <c r="N23" s="20" t="s">
        <v>57</v>
      </c>
      <c r="O23" s="24" t="s">
        <v>56</v>
      </c>
      <c r="P23" s="36">
        <v>1</v>
      </c>
      <c r="Q23" s="24"/>
      <c r="R23" s="18" t="s">
        <v>129</v>
      </c>
      <c r="S23" s="19" t="s">
        <v>56</v>
      </c>
      <c r="T23" s="17" t="s">
        <v>58</v>
      </c>
      <c r="U23" s="19"/>
      <c r="V23" s="36">
        <v>1</v>
      </c>
      <c r="W23" s="36"/>
      <c r="X23" s="36"/>
      <c r="Y23" s="36"/>
      <c r="Z23" s="21"/>
      <c r="AA23" s="21"/>
      <c r="AB23" s="21">
        <v>17470.400000000001</v>
      </c>
      <c r="AC23" s="21">
        <f t="shared" si="0"/>
        <v>17470.400000000001</v>
      </c>
      <c r="AD23" s="14"/>
      <c r="AE23" s="52"/>
      <c r="AF23" s="14"/>
      <c r="AG23" s="14"/>
      <c r="AH23" s="21">
        <v>39280</v>
      </c>
      <c r="AI23" s="21">
        <f t="shared" si="1"/>
        <v>39280</v>
      </c>
      <c r="AJ23" s="22" t="s">
        <v>11</v>
      </c>
      <c r="AK23" s="16">
        <v>46057</v>
      </c>
      <c r="AL23" s="16"/>
      <c r="AM23" s="16"/>
      <c r="AN23" s="22"/>
      <c r="AO23" s="22"/>
    </row>
    <row r="24" spans="1:41" x14ac:dyDescent="0.35">
      <c r="A24" s="14"/>
      <c r="B24" s="14">
        <v>7704</v>
      </c>
      <c r="C24" s="16">
        <v>46058</v>
      </c>
      <c r="D24" s="14">
        <v>142</v>
      </c>
      <c r="E24" s="16">
        <v>46056</v>
      </c>
      <c r="F24" s="16"/>
      <c r="G24" s="16"/>
      <c r="H24" s="14"/>
      <c r="I24" s="14"/>
      <c r="J24" s="14"/>
      <c r="K24" s="32"/>
      <c r="L24" s="15" t="s">
        <v>63</v>
      </c>
      <c r="M24" s="15" t="s">
        <v>40</v>
      </c>
      <c r="N24" s="20" t="s">
        <v>113</v>
      </c>
      <c r="O24" s="24" t="s">
        <v>112</v>
      </c>
      <c r="P24" s="36">
        <v>1</v>
      </c>
      <c r="Q24" s="24"/>
      <c r="R24" s="18" t="s">
        <v>144</v>
      </c>
      <c r="S24" s="19" t="s">
        <v>145</v>
      </c>
      <c r="T24" s="17"/>
      <c r="U24" s="19"/>
      <c r="V24" s="36">
        <v>1</v>
      </c>
      <c r="W24" s="36"/>
      <c r="X24" s="36"/>
      <c r="Y24" s="36"/>
      <c r="Z24" s="21"/>
      <c r="AA24" s="21"/>
      <c r="AB24" s="21">
        <v>814.05</v>
      </c>
      <c r="AC24" s="21">
        <f t="shared" si="0"/>
        <v>814.05</v>
      </c>
      <c r="AD24" s="14"/>
      <c r="AE24" s="52"/>
      <c r="AF24" s="14"/>
      <c r="AG24" s="14"/>
      <c r="AH24" s="21">
        <v>1424</v>
      </c>
      <c r="AI24" s="21">
        <f t="shared" si="1"/>
        <v>1424</v>
      </c>
      <c r="AJ24" s="22" t="s">
        <v>32</v>
      </c>
      <c r="AK24" s="16">
        <v>46057</v>
      </c>
      <c r="AL24" s="16"/>
      <c r="AM24" s="16"/>
      <c r="AN24" s="22"/>
      <c r="AO24" s="22"/>
    </row>
    <row r="25" spans="1:41" x14ac:dyDescent="0.35">
      <c r="A25" s="14"/>
      <c r="B25" s="14">
        <v>7705</v>
      </c>
      <c r="C25" s="16"/>
      <c r="D25" s="14"/>
      <c r="E25" s="16">
        <v>46056</v>
      </c>
      <c r="F25" s="16"/>
      <c r="G25" s="16"/>
      <c r="H25" s="14"/>
      <c r="I25" s="14"/>
      <c r="J25" s="14"/>
      <c r="K25" s="32"/>
      <c r="L25" s="15" t="s">
        <v>31</v>
      </c>
      <c r="M25" s="15" t="s">
        <v>40</v>
      </c>
      <c r="N25" s="20" t="s">
        <v>23</v>
      </c>
      <c r="O25" s="24" t="s">
        <v>77</v>
      </c>
      <c r="P25" s="36">
        <v>1</v>
      </c>
      <c r="Q25" s="24"/>
      <c r="R25" s="18"/>
      <c r="S25" s="19"/>
      <c r="T25" s="17"/>
      <c r="U25" s="19"/>
      <c r="V25" s="36">
        <v>1</v>
      </c>
      <c r="W25" s="36"/>
      <c r="X25" s="36"/>
      <c r="Y25" s="36"/>
      <c r="Z25" s="21"/>
      <c r="AA25" s="21"/>
      <c r="AB25" s="21"/>
      <c r="AC25" s="21">
        <f t="shared" si="0"/>
        <v>0</v>
      </c>
      <c r="AD25" s="14"/>
      <c r="AE25" s="52"/>
      <c r="AF25" s="14"/>
      <c r="AG25" s="14"/>
      <c r="AH25" s="21">
        <v>0</v>
      </c>
      <c r="AI25" s="21">
        <f t="shared" si="1"/>
        <v>0</v>
      </c>
      <c r="AJ25" s="22"/>
      <c r="AK25" s="16"/>
      <c r="AL25" s="16"/>
      <c r="AM25" s="16"/>
      <c r="AN25" s="22"/>
      <c r="AO25" s="22"/>
    </row>
    <row r="26" spans="1:41" x14ac:dyDescent="0.35">
      <c r="A26" s="14"/>
      <c r="B26" s="14">
        <v>7706</v>
      </c>
      <c r="C26" s="16"/>
      <c r="D26" s="14"/>
      <c r="E26" s="16">
        <v>46056</v>
      </c>
      <c r="F26" s="16"/>
      <c r="G26" s="16"/>
      <c r="H26" s="14"/>
      <c r="I26" s="14"/>
      <c r="J26" s="14"/>
      <c r="K26" s="32"/>
      <c r="L26" s="15" t="s">
        <v>27</v>
      </c>
      <c r="M26" s="15" t="s">
        <v>40</v>
      </c>
      <c r="N26" s="20" t="s">
        <v>23</v>
      </c>
      <c r="O26" s="24" t="s">
        <v>77</v>
      </c>
      <c r="P26" s="36">
        <v>1</v>
      </c>
      <c r="Q26" s="24"/>
      <c r="R26" s="18"/>
      <c r="S26" s="19"/>
      <c r="T26" s="17"/>
      <c r="U26" s="19"/>
      <c r="V26" s="36">
        <v>1</v>
      </c>
      <c r="W26" s="36"/>
      <c r="X26" s="36"/>
      <c r="Y26" s="36"/>
      <c r="Z26" s="21"/>
      <c r="AA26" s="21"/>
      <c r="AB26" s="21"/>
      <c r="AC26" s="21">
        <f t="shared" si="0"/>
        <v>0</v>
      </c>
      <c r="AD26" s="14"/>
      <c r="AE26" s="52"/>
      <c r="AF26" s="14"/>
      <c r="AG26" s="14"/>
      <c r="AH26" s="21">
        <v>0</v>
      </c>
      <c r="AI26" s="21">
        <f t="shared" si="1"/>
        <v>0</v>
      </c>
      <c r="AJ26" s="22"/>
      <c r="AK26" s="16"/>
      <c r="AL26" s="16"/>
      <c r="AM26" s="16"/>
      <c r="AN26" s="22"/>
      <c r="AO26" s="22"/>
    </row>
    <row r="27" spans="1:41" x14ac:dyDescent="0.35">
      <c r="A27" s="14"/>
      <c r="B27" s="14">
        <v>7707</v>
      </c>
      <c r="C27" s="16">
        <v>46058</v>
      </c>
      <c r="D27" s="14">
        <v>142</v>
      </c>
      <c r="E27" s="16">
        <v>46056</v>
      </c>
      <c r="F27" s="16"/>
      <c r="G27" s="16"/>
      <c r="H27" s="14"/>
      <c r="I27" s="14"/>
      <c r="J27" s="14"/>
      <c r="K27" s="32"/>
      <c r="L27" s="15" t="s">
        <v>26</v>
      </c>
      <c r="M27" s="15" t="s">
        <v>40</v>
      </c>
      <c r="N27" s="20" t="s">
        <v>115</v>
      </c>
      <c r="O27" s="24" t="s">
        <v>114</v>
      </c>
      <c r="P27" s="36">
        <v>1</v>
      </c>
      <c r="Q27" s="24"/>
      <c r="R27" s="18" t="s">
        <v>128</v>
      </c>
      <c r="S27" s="19" t="s">
        <v>114</v>
      </c>
      <c r="T27" s="17" t="s">
        <v>127</v>
      </c>
      <c r="U27" s="19"/>
      <c r="V27" s="36">
        <v>1</v>
      </c>
      <c r="W27" s="36"/>
      <c r="X27" s="36"/>
      <c r="Y27" s="36"/>
      <c r="Z27" s="21"/>
      <c r="AA27" s="21"/>
      <c r="AB27" s="21">
        <v>2559.56</v>
      </c>
      <c r="AC27" s="21">
        <f t="shared" si="0"/>
        <v>2559.56</v>
      </c>
      <c r="AD27" s="14"/>
      <c r="AE27" s="52"/>
      <c r="AF27" s="14"/>
      <c r="AG27" s="14"/>
      <c r="AH27" s="21">
        <v>5016</v>
      </c>
      <c r="AI27" s="21">
        <f t="shared" si="1"/>
        <v>5016</v>
      </c>
      <c r="AJ27" s="22" t="s">
        <v>11</v>
      </c>
      <c r="AK27" s="16">
        <v>46057</v>
      </c>
      <c r="AL27" s="16"/>
      <c r="AM27" s="16"/>
      <c r="AN27" s="22"/>
      <c r="AO27" s="22"/>
    </row>
    <row r="28" spans="1:41" x14ac:dyDescent="0.35">
      <c r="A28" s="14"/>
      <c r="B28" s="14">
        <v>7708</v>
      </c>
      <c r="C28" s="16">
        <v>46058</v>
      </c>
      <c r="D28" s="14">
        <v>142</v>
      </c>
      <c r="E28" s="16">
        <v>46056</v>
      </c>
      <c r="F28" s="16"/>
      <c r="G28" s="16"/>
      <c r="H28" s="14"/>
      <c r="I28" s="14"/>
      <c r="J28" s="14"/>
      <c r="K28" s="32"/>
      <c r="L28" s="15" t="s">
        <v>15</v>
      </c>
      <c r="M28" s="15" t="s">
        <v>40</v>
      </c>
      <c r="N28" s="20" t="s">
        <v>50</v>
      </c>
      <c r="O28" s="24" t="s">
        <v>116</v>
      </c>
      <c r="P28" s="36">
        <v>1</v>
      </c>
      <c r="Q28" s="24"/>
      <c r="R28" s="18" t="s">
        <v>42</v>
      </c>
      <c r="S28" s="19" t="s">
        <v>44</v>
      </c>
      <c r="T28" s="17" t="s">
        <v>46</v>
      </c>
      <c r="U28" s="19"/>
      <c r="V28" s="36">
        <v>1</v>
      </c>
      <c r="W28" s="36"/>
      <c r="X28" s="36"/>
      <c r="Y28" s="36"/>
      <c r="Z28" s="21"/>
      <c r="AA28" s="21"/>
      <c r="AB28" s="21">
        <v>1644.56</v>
      </c>
      <c r="AC28" s="21">
        <f t="shared" si="0"/>
        <v>1644.56</v>
      </c>
      <c r="AD28" s="14"/>
      <c r="AE28" s="52"/>
      <c r="AF28" s="14"/>
      <c r="AG28" s="14"/>
      <c r="AH28" s="21">
        <v>3616</v>
      </c>
      <c r="AI28" s="21">
        <f t="shared" si="1"/>
        <v>3616</v>
      </c>
      <c r="AJ28" s="22" t="s">
        <v>11</v>
      </c>
      <c r="AK28" s="16">
        <v>46057</v>
      </c>
      <c r="AL28" s="16"/>
      <c r="AM28" s="16"/>
      <c r="AN28" s="22"/>
      <c r="AO28" s="22"/>
    </row>
    <row r="29" spans="1:41" x14ac:dyDescent="0.35">
      <c r="A29" s="14"/>
      <c r="B29" s="14">
        <v>7709</v>
      </c>
      <c r="C29" s="16">
        <v>46057</v>
      </c>
      <c r="D29" s="14">
        <v>142</v>
      </c>
      <c r="E29" s="16">
        <v>46056</v>
      </c>
      <c r="F29" s="16"/>
      <c r="G29" s="16"/>
      <c r="H29" s="14"/>
      <c r="I29" s="14"/>
      <c r="J29" s="14"/>
      <c r="K29" s="32" t="s">
        <v>55</v>
      </c>
      <c r="L29" s="15" t="s">
        <v>123</v>
      </c>
      <c r="M29" s="15" t="s">
        <v>40</v>
      </c>
      <c r="N29" s="20" t="s">
        <v>118</v>
      </c>
      <c r="O29" s="24" t="s">
        <v>117</v>
      </c>
      <c r="P29" s="36">
        <v>1</v>
      </c>
      <c r="Q29" s="24"/>
      <c r="R29" s="18" t="s">
        <v>69</v>
      </c>
      <c r="S29" s="19" t="s">
        <v>67</v>
      </c>
      <c r="T29" s="17" t="s">
        <v>68</v>
      </c>
      <c r="U29" s="19"/>
      <c r="V29" s="36">
        <v>1</v>
      </c>
      <c r="W29" s="36"/>
      <c r="X29" s="36"/>
      <c r="Y29" s="36"/>
      <c r="Z29" s="21"/>
      <c r="AA29" s="21"/>
      <c r="AB29" s="21">
        <v>13850.05</v>
      </c>
      <c r="AC29" s="21">
        <f t="shared" si="0"/>
        <v>13850.05</v>
      </c>
      <c r="AD29" s="14"/>
      <c r="AE29" s="52"/>
      <c r="AF29" s="14"/>
      <c r="AG29" s="14"/>
      <c r="AH29" s="21">
        <v>23816</v>
      </c>
      <c r="AI29" s="21">
        <f t="shared" si="1"/>
        <v>23816</v>
      </c>
      <c r="AJ29" s="22" t="s">
        <v>11</v>
      </c>
      <c r="AK29" s="16">
        <v>46056</v>
      </c>
      <c r="AL29" s="16"/>
      <c r="AM29" s="16"/>
      <c r="AN29" s="22"/>
      <c r="AO29" s="22"/>
    </row>
    <row r="30" spans="1:41" x14ac:dyDescent="0.35">
      <c r="A30" s="14"/>
      <c r="B30" s="14">
        <v>7977</v>
      </c>
      <c r="C30" s="16">
        <v>46059</v>
      </c>
      <c r="D30" s="14">
        <v>145</v>
      </c>
      <c r="E30" s="16">
        <v>46059</v>
      </c>
      <c r="F30" s="16"/>
      <c r="G30" s="16"/>
      <c r="H30" s="14"/>
      <c r="I30" s="14"/>
      <c r="J30" s="32" t="s">
        <v>12</v>
      </c>
      <c r="K30" s="32"/>
      <c r="L30" s="15" t="s">
        <v>150</v>
      </c>
      <c r="M30" s="15" t="s">
        <v>14</v>
      </c>
      <c r="N30" s="18" t="s">
        <v>79</v>
      </c>
      <c r="O30" s="17" t="s">
        <v>80</v>
      </c>
      <c r="P30" s="36">
        <v>1</v>
      </c>
      <c r="Q30" s="17"/>
      <c r="R30" s="18" t="s">
        <v>79</v>
      </c>
      <c r="S30" s="19" t="s">
        <v>80</v>
      </c>
      <c r="T30" s="17" t="s">
        <v>78</v>
      </c>
      <c r="U30" s="19"/>
      <c r="V30" s="36">
        <v>1</v>
      </c>
      <c r="W30" s="36"/>
      <c r="X30" s="36"/>
      <c r="Y30" s="36"/>
      <c r="Z30" s="21"/>
      <c r="AA30" s="21"/>
      <c r="AB30" s="21">
        <v>2417.4299999999998</v>
      </c>
      <c r="AC30" s="21">
        <f t="shared" si="0"/>
        <v>2417.4299999999998</v>
      </c>
      <c r="AD30" s="14"/>
      <c r="AE30" s="52"/>
      <c r="AF30" s="14"/>
      <c r="AG30" s="14"/>
      <c r="AH30" s="21">
        <v>4800</v>
      </c>
      <c r="AI30" s="21">
        <f t="shared" si="1"/>
        <v>4800</v>
      </c>
      <c r="AJ30" s="22" t="s">
        <v>11</v>
      </c>
      <c r="AK30" s="16">
        <v>46059</v>
      </c>
      <c r="AL30" s="16"/>
      <c r="AM30" s="16"/>
      <c r="AN30" s="22" t="s">
        <v>13</v>
      </c>
      <c r="AO30" s="22" t="s">
        <v>33</v>
      </c>
    </row>
    <row r="31" spans="1:41" x14ac:dyDescent="0.35">
      <c r="A31" s="14"/>
      <c r="B31" s="14">
        <v>7978</v>
      </c>
      <c r="C31" s="16">
        <v>46059</v>
      </c>
      <c r="D31" s="14">
        <v>145</v>
      </c>
      <c r="E31" s="16">
        <v>46059</v>
      </c>
      <c r="F31" s="16"/>
      <c r="G31" s="16"/>
      <c r="H31" s="14"/>
      <c r="I31" s="14"/>
      <c r="J31" s="32" t="s">
        <v>12</v>
      </c>
      <c r="K31" s="32"/>
      <c r="L31" s="15" t="s">
        <v>150</v>
      </c>
      <c r="M31" s="15" t="s">
        <v>14</v>
      </c>
      <c r="N31" s="18" t="s">
        <v>156</v>
      </c>
      <c r="O31" s="17" t="s">
        <v>152</v>
      </c>
      <c r="P31" s="36">
        <v>20</v>
      </c>
      <c r="Q31" s="17"/>
      <c r="R31" s="18" t="s">
        <v>156</v>
      </c>
      <c r="S31" s="19" t="s">
        <v>152</v>
      </c>
      <c r="T31" s="17" t="s">
        <v>151</v>
      </c>
      <c r="U31" s="19"/>
      <c r="V31" s="36">
        <v>20</v>
      </c>
      <c r="W31" s="36"/>
      <c r="X31" s="36"/>
      <c r="Y31" s="36"/>
      <c r="Z31" s="21"/>
      <c r="AA31" s="21"/>
      <c r="AB31" s="21">
        <v>17.079999999999998</v>
      </c>
      <c r="AC31" s="21">
        <f t="shared" si="0"/>
        <v>341.59999999999997</v>
      </c>
      <c r="AD31" s="14"/>
      <c r="AE31" s="52"/>
      <c r="AF31" s="14"/>
      <c r="AG31" s="14"/>
      <c r="AH31" s="21">
        <v>56</v>
      </c>
      <c r="AI31" s="21">
        <f t="shared" si="1"/>
        <v>1120</v>
      </c>
      <c r="AJ31" s="22" t="s">
        <v>11</v>
      </c>
      <c r="AK31" s="16">
        <v>46059</v>
      </c>
      <c r="AL31" s="16"/>
      <c r="AM31" s="16"/>
      <c r="AN31" s="22" t="s">
        <v>13</v>
      </c>
      <c r="AO31" s="22" t="s">
        <v>33</v>
      </c>
    </row>
    <row r="32" spans="1:41" x14ac:dyDescent="0.35">
      <c r="A32" s="14"/>
      <c r="B32" s="14">
        <v>7979</v>
      </c>
      <c r="C32" s="16">
        <v>46059</v>
      </c>
      <c r="D32" s="14">
        <v>145</v>
      </c>
      <c r="E32" s="16">
        <v>46059</v>
      </c>
      <c r="F32" s="16"/>
      <c r="G32" s="16"/>
      <c r="H32" s="14"/>
      <c r="I32" s="14"/>
      <c r="J32" s="32" t="s">
        <v>12</v>
      </c>
      <c r="K32" s="32"/>
      <c r="L32" s="15" t="s">
        <v>150</v>
      </c>
      <c r="M32" s="15" t="s">
        <v>14</v>
      </c>
      <c r="N32" s="18" t="s">
        <v>155</v>
      </c>
      <c r="O32" s="17" t="s">
        <v>154</v>
      </c>
      <c r="P32" s="36">
        <v>3</v>
      </c>
      <c r="Q32" s="17"/>
      <c r="R32" s="18" t="s">
        <v>155</v>
      </c>
      <c r="S32" s="19" t="s">
        <v>154</v>
      </c>
      <c r="T32" s="17" t="s">
        <v>153</v>
      </c>
      <c r="U32" s="19"/>
      <c r="V32" s="36">
        <v>3</v>
      </c>
      <c r="W32" s="36"/>
      <c r="X32" s="36"/>
      <c r="Y32" s="36"/>
      <c r="Z32" s="21"/>
      <c r="AA32" s="21"/>
      <c r="AB32" s="21">
        <v>165.92</v>
      </c>
      <c r="AC32" s="21">
        <f t="shared" si="0"/>
        <v>497.76</v>
      </c>
      <c r="AD32" s="14"/>
      <c r="AE32" s="52"/>
      <c r="AF32" s="14"/>
      <c r="AG32" s="14"/>
      <c r="AH32" s="21">
        <v>304</v>
      </c>
      <c r="AI32" s="21">
        <f t="shared" si="1"/>
        <v>912</v>
      </c>
      <c r="AJ32" s="22" t="s">
        <v>11</v>
      </c>
      <c r="AK32" s="16">
        <v>46059</v>
      </c>
      <c r="AL32" s="16"/>
      <c r="AM32" s="16"/>
      <c r="AN32" s="22" t="s">
        <v>13</v>
      </c>
      <c r="AO32" s="22" t="s">
        <v>33</v>
      </c>
    </row>
    <row r="33" spans="1:41" x14ac:dyDescent="0.35">
      <c r="A33" s="14"/>
      <c r="B33" s="14">
        <v>7980</v>
      </c>
      <c r="C33" s="16">
        <v>46059</v>
      </c>
      <c r="D33" s="14">
        <v>145</v>
      </c>
      <c r="E33" s="16">
        <v>46059</v>
      </c>
      <c r="F33" s="16"/>
      <c r="G33" s="16"/>
      <c r="H33" s="14"/>
      <c r="I33" s="14"/>
      <c r="J33" s="32" t="s">
        <v>12</v>
      </c>
      <c r="K33" s="32"/>
      <c r="L33" s="15" t="s">
        <v>59</v>
      </c>
      <c r="M33" s="15" t="s">
        <v>41</v>
      </c>
      <c r="N33" s="20" t="s">
        <v>157</v>
      </c>
      <c r="O33" s="24" t="s">
        <v>158</v>
      </c>
      <c r="P33" s="36">
        <v>1</v>
      </c>
      <c r="Q33" s="24"/>
      <c r="R33" s="18" t="s">
        <v>157</v>
      </c>
      <c r="S33" s="19" t="s">
        <v>159</v>
      </c>
      <c r="T33" s="17" t="s">
        <v>81</v>
      </c>
      <c r="U33" s="19"/>
      <c r="V33" s="36">
        <v>1</v>
      </c>
      <c r="W33" s="36"/>
      <c r="X33" s="36"/>
      <c r="Y33" s="36"/>
      <c r="Z33" s="21"/>
      <c r="AA33" s="21"/>
      <c r="AB33" s="21">
        <v>8921.25</v>
      </c>
      <c r="AC33" s="21">
        <f t="shared" si="0"/>
        <v>8921.25</v>
      </c>
      <c r="AD33" s="14"/>
      <c r="AE33" s="52"/>
      <c r="AF33" s="14"/>
      <c r="AG33" s="14"/>
      <c r="AH33" s="21">
        <v>20240</v>
      </c>
      <c r="AI33" s="21">
        <f t="shared" si="1"/>
        <v>20240</v>
      </c>
      <c r="AJ33" s="22" t="s">
        <v>11</v>
      </c>
      <c r="AK33" s="16">
        <v>46059</v>
      </c>
      <c r="AL33" s="16"/>
      <c r="AM33" s="16"/>
      <c r="AN33" s="22" t="s">
        <v>13</v>
      </c>
      <c r="AO33" s="22" t="s">
        <v>33</v>
      </c>
    </row>
    <row r="34" spans="1:41" x14ac:dyDescent="0.35">
      <c r="A34" s="14"/>
      <c r="B34" s="14">
        <v>7981</v>
      </c>
      <c r="C34" s="16">
        <v>46059</v>
      </c>
      <c r="D34" s="14">
        <v>145</v>
      </c>
      <c r="E34" s="16">
        <v>46059</v>
      </c>
      <c r="F34" s="16"/>
      <c r="G34" s="16"/>
      <c r="H34" s="14"/>
      <c r="I34" s="14"/>
      <c r="J34" s="32" t="s">
        <v>12</v>
      </c>
      <c r="K34" s="32"/>
      <c r="L34" s="15" t="s">
        <v>16</v>
      </c>
      <c r="M34" s="15" t="s">
        <v>34</v>
      </c>
      <c r="N34" s="20" t="s">
        <v>86</v>
      </c>
      <c r="O34" s="24" t="s">
        <v>85</v>
      </c>
      <c r="P34" s="36">
        <v>8</v>
      </c>
      <c r="Q34" s="24"/>
      <c r="R34" s="18" t="s">
        <v>86</v>
      </c>
      <c r="S34" s="19" t="s">
        <v>85</v>
      </c>
      <c r="T34" s="17" t="s">
        <v>89</v>
      </c>
      <c r="U34" s="19"/>
      <c r="V34" s="36">
        <v>8</v>
      </c>
      <c r="W34" s="36"/>
      <c r="X34" s="36"/>
      <c r="Y34" s="36"/>
      <c r="Z34" s="21"/>
      <c r="AA34" s="21"/>
      <c r="AB34" s="21">
        <v>765</v>
      </c>
      <c r="AC34" s="21">
        <f t="shared" si="0"/>
        <v>6120</v>
      </c>
      <c r="AD34" s="14"/>
      <c r="AE34" s="52"/>
      <c r="AF34" s="14"/>
      <c r="AG34" s="14"/>
      <c r="AH34" s="21">
        <v>1360</v>
      </c>
      <c r="AI34" s="21">
        <f t="shared" si="1"/>
        <v>10880</v>
      </c>
      <c r="AJ34" s="22" t="s">
        <v>11</v>
      </c>
      <c r="AK34" s="16">
        <v>46058</v>
      </c>
      <c r="AL34" s="16"/>
      <c r="AM34" s="16"/>
      <c r="AN34" s="22"/>
      <c r="AO34" s="22"/>
    </row>
    <row r="35" spans="1:41" x14ac:dyDescent="0.35">
      <c r="A35" s="14"/>
      <c r="B35" s="14">
        <v>7982</v>
      </c>
      <c r="C35" s="16">
        <v>46063</v>
      </c>
      <c r="D35" s="14">
        <v>148</v>
      </c>
      <c r="E35" s="16">
        <v>46059</v>
      </c>
      <c r="F35" s="16"/>
      <c r="G35" s="16"/>
      <c r="H35" s="14"/>
      <c r="I35" s="14"/>
      <c r="J35" s="14"/>
      <c r="K35" s="32"/>
      <c r="L35" s="15" t="s">
        <v>16</v>
      </c>
      <c r="M35" s="15" t="s">
        <v>34</v>
      </c>
      <c r="N35" s="20" t="s">
        <v>84</v>
      </c>
      <c r="O35" s="24" t="s">
        <v>83</v>
      </c>
      <c r="P35" s="36">
        <v>50</v>
      </c>
      <c r="Q35" s="24"/>
      <c r="R35" s="18" t="s">
        <v>160</v>
      </c>
      <c r="S35" s="19" t="s">
        <v>88</v>
      </c>
      <c r="T35" s="17" t="s">
        <v>87</v>
      </c>
      <c r="U35" s="19"/>
      <c r="V35" s="36">
        <v>50</v>
      </c>
      <c r="W35" s="36"/>
      <c r="X35" s="36"/>
      <c r="Y35" s="36"/>
      <c r="Z35" s="21"/>
      <c r="AA35" s="21"/>
      <c r="AB35" s="21">
        <v>64.52</v>
      </c>
      <c r="AC35" s="21">
        <f t="shared" si="0"/>
        <v>3226</v>
      </c>
      <c r="AD35" s="14"/>
      <c r="AE35" s="52"/>
      <c r="AF35" s="14"/>
      <c r="AG35" s="14"/>
      <c r="AH35" s="21">
        <v>144</v>
      </c>
      <c r="AI35" s="21">
        <f t="shared" si="1"/>
        <v>7200</v>
      </c>
      <c r="AJ35" s="22" t="s">
        <v>11</v>
      </c>
      <c r="AK35" s="16">
        <v>46062</v>
      </c>
      <c r="AL35" s="16"/>
      <c r="AM35" s="16"/>
      <c r="AN35" s="22"/>
      <c r="AO35" s="22"/>
    </row>
    <row r="37" spans="1:41" ht="101.5" x14ac:dyDescent="0.35">
      <c r="AE37" s="55" t="s">
        <v>238</v>
      </c>
      <c r="AG37" s="55"/>
      <c r="AH37" s="56"/>
    </row>
    <row r="41" spans="1:41" x14ac:dyDescent="0.35">
      <c r="M41" s="53" t="s">
        <v>216</v>
      </c>
      <c r="N41" s="53"/>
      <c r="O41" s="53"/>
      <c r="P41" s="53"/>
      <c r="Q41" s="25"/>
    </row>
    <row r="42" spans="1:41" ht="29" x14ac:dyDescent="0.35">
      <c r="M42" s="50"/>
      <c r="N42" s="13" t="s">
        <v>215</v>
      </c>
      <c r="O42" s="17"/>
      <c r="P42" s="17"/>
    </row>
    <row r="43" spans="1:41" x14ac:dyDescent="0.35">
      <c r="M43" s="14"/>
      <c r="N43" s="19"/>
      <c r="O43" s="17"/>
      <c r="P43" s="17"/>
    </row>
    <row r="44" spans="1:41" x14ac:dyDescent="0.35">
      <c r="M44" s="54" t="s">
        <v>195</v>
      </c>
      <c r="N44" s="54"/>
      <c r="O44" s="54"/>
      <c r="P44" s="54"/>
    </row>
    <row r="45" spans="1:41" x14ac:dyDescent="0.35">
      <c r="M45" s="14"/>
      <c r="N45" s="19" t="s">
        <v>196</v>
      </c>
      <c r="O45" s="17" t="s">
        <v>199</v>
      </c>
      <c r="P45" s="17"/>
    </row>
    <row r="46" spans="1:41" x14ac:dyDescent="0.35">
      <c r="M46" s="14"/>
      <c r="N46" s="19" t="s">
        <v>197</v>
      </c>
      <c r="O46" s="17" t="s">
        <v>198</v>
      </c>
      <c r="P46" s="17"/>
    </row>
    <row r="47" spans="1:41" x14ac:dyDescent="0.35">
      <c r="M47" s="14"/>
      <c r="N47" s="19" t="s">
        <v>200</v>
      </c>
      <c r="O47" s="17" t="s">
        <v>200</v>
      </c>
      <c r="P47" s="17"/>
    </row>
    <row r="48" spans="1:41" x14ac:dyDescent="0.35">
      <c r="M48" s="14"/>
      <c r="N48" s="19" t="s">
        <v>201</v>
      </c>
      <c r="O48" s="17" t="s">
        <v>202</v>
      </c>
      <c r="P48" s="17"/>
    </row>
    <row r="49" spans="13:16" ht="43.5" x14ac:dyDescent="0.35">
      <c r="M49" s="14"/>
      <c r="N49" s="19" t="s">
        <v>203</v>
      </c>
      <c r="O49" s="17" t="s">
        <v>204</v>
      </c>
      <c r="P49" s="17"/>
    </row>
    <row r="50" spans="13:16" x14ac:dyDescent="0.35">
      <c r="M50" s="14"/>
      <c r="N50" s="19" t="s">
        <v>205</v>
      </c>
      <c r="O50" s="17" t="s">
        <v>206</v>
      </c>
      <c r="P50" s="17"/>
    </row>
    <row r="51" spans="13:16" ht="87" x14ac:dyDescent="0.35">
      <c r="M51" s="14"/>
      <c r="N51" s="19" t="s">
        <v>231</v>
      </c>
      <c r="O51" s="17" t="s">
        <v>207</v>
      </c>
      <c r="P51" s="17" t="s">
        <v>218</v>
      </c>
    </row>
    <row r="52" spans="13:16" x14ac:dyDescent="0.35">
      <c r="M52" s="14"/>
      <c r="N52" s="19" t="s">
        <v>208</v>
      </c>
      <c r="O52" s="17"/>
      <c r="P52" s="17"/>
    </row>
    <row r="53" spans="13:16" ht="43.5" x14ac:dyDescent="0.35">
      <c r="M53" s="14"/>
      <c r="N53" s="19" t="s">
        <v>232</v>
      </c>
      <c r="O53" s="17"/>
      <c r="P53" s="17"/>
    </row>
    <row r="54" spans="13:16" x14ac:dyDescent="0.35">
      <c r="M54" s="14"/>
      <c r="N54" s="19"/>
      <c r="O54" s="17"/>
      <c r="P54" s="17"/>
    </row>
    <row r="55" spans="13:16" x14ac:dyDescent="0.35">
      <c r="M55" s="14"/>
      <c r="N55" s="19"/>
      <c r="O55" s="17"/>
      <c r="P55" s="17"/>
    </row>
    <row r="56" spans="13:16" x14ac:dyDescent="0.35">
      <c r="M56" s="14"/>
      <c r="N56" s="38" t="s">
        <v>213</v>
      </c>
      <c r="O56" s="17"/>
      <c r="P56" s="17"/>
    </row>
    <row r="57" spans="13:16" x14ac:dyDescent="0.35">
      <c r="M57" s="14"/>
      <c r="N57" s="51" t="s">
        <v>214</v>
      </c>
      <c r="O57" s="17"/>
      <c r="P57" s="17"/>
    </row>
    <row r="58" spans="13:16" x14ac:dyDescent="0.35">
      <c r="M58" s="14"/>
      <c r="N58" s="13" t="s">
        <v>233</v>
      </c>
      <c r="O58" s="17"/>
      <c r="P58" s="17"/>
    </row>
  </sheetData>
  <autoFilter ref="A3:AO35" xr:uid="{813658EF-F016-43EC-9F5A-4951F0416A71}">
    <sortState xmlns:xlrd2="http://schemas.microsoft.com/office/spreadsheetml/2017/richdata2" ref="A4:AO35">
      <sortCondition ref="B3:B35"/>
    </sortState>
  </autoFilter>
  <mergeCells count="2">
    <mergeCell ref="M41:P41"/>
    <mergeCell ref="M44:P44"/>
  </mergeCells>
  <dataValidations count="1">
    <dataValidation type="list" allowBlank="1" showInputMessage="1" showErrorMessage="1" sqref="K4:K29 K34:K35" xr:uid="{427A70F6-C4BC-49CD-8ECA-A741E986D2F9}">
      <formula1>Срочность</formula1>
    </dataValidation>
  </dataValidations>
  <pageMargins left="0.25" right="0.25" top="0.75" bottom="0.75" header="0.3" footer="0.3"/>
  <pageSetup paperSize="9" scale="2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Денис</dc:creator>
  <cp:lastModifiedBy>Mac</cp:lastModifiedBy>
  <cp:lastPrinted>2025-11-26T08:33:46Z</cp:lastPrinted>
  <dcterms:created xsi:type="dcterms:W3CDTF">2025-04-22T14:17:57Z</dcterms:created>
  <dcterms:modified xsi:type="dcterms:W3CDTF">2026-09-08T11:48:11Z</dcterms:modified>
</cp:coreProperties>
</file>